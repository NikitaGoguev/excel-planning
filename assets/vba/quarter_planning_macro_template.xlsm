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90556E4A-8177-4F0E-BDF7-8903245AB39B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  <sheet name="101_Списки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K17" i="7" s="1"/>
  <c r="T17" i="7" s="1"/>
  <c r="J21" i="7"/>
  <c r="I21" i="7"/>
  <c r="H21" i="7"/>
  <c r="H17" i="7" s="1"/>
  <c r="Q17" i="7" s="1"/>
  <c r="G21" i="7"/>
  <c r="G17" i="7" s="1"/>
  <c r="P17" i="7" s="1"/>
  <c r="K18" i="7"/>
  <c r="J18" i="7"/>
  <c r="I18" i="7"/>
  <c r="H18" i="7"/>
  <c r="G18" i="7"/>
  <c r="W17" i="7"/>
  <c r="U17" i="7"/>
  <c r="J17" i="7"/>
  <c r="S17" i="7" s="1"/>
  <c r="I17" i="7"/>
  <c r="R17" i="7" s="1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7" i="3"/>
  <c r="E17" i="3" s="1"/>
  <c r="F15" i="3"/>
  <c r="E15" i="3" s="1"/>
  <c r="F13" i="3"/>
  <c r="E13" i="3" s="1"/>
  <c r="F12" i="3"/>
  <c r="E12" i="3"/>
  <c r="F11" i="3"/>
  <c r="E11" i="3" s="1"/>
  <c r="F10" i="3"/>
  <c r="E10" i="3"/>
  <c r="F9" i="3"/>
  <c r="E9" i="3"/>
  <c r="F8" i="3"/>
  <c r="E8" i="3"/>
  <c r="E7" i="3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F19" i="3" s="1"/>
  <c r="E19" i="3" s="1"/>
  <c r="H13" i="1"/>
  <c r="E30" i="3" l="1"/>
  <c r="F14" i="3"/>
  <c r="E14" i="3" s="1"/>
  <c r="E27" i="3" s="1"/>
  <c r="F16" i="3"/>
  <c r="E16" i="3" s="1"/>
  <c r="E29" i="3" s="1"/>
  <c r="F18" i="3"/>
  <c r="E18" i="3" s="1"/>
  <c r="E28" i="3" s="1"/>
  <c r="K4" i="5" l="1"/>
  <c r="K2" i="5"/>
  <c r="F27" i="3"/>
  <c r="E32" i="3"/>
  <c r="L4" i="5"/>
  <c r="L2" i="5"/>
  <c r="F28" i="3"/>
  <c r="F29" i="3"/>
  <c r="M2" i="5"/>
  <c r="M4" i="5"/>
  <c r="F30" i="3"/>
  <c r="N4" i="5"/>
  <c r="N2" i="5"/>
  <c r="F32" i="3" l="1"/>
</calcChain>
</file>

<file path=xl/sharedStrings.xml><?xml version="1.0" encoding="utf-8"?>
<sst xmlns="http://schemas.openxmlformats.org/spreadsheetml/2006/main" count="4676" uniqueCount="296">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</sst>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TaskCommentArtifacts" displayName="tblTaskCommentArtifacts" ref="A3:A7">
  <autoFilter ref="A3:A7" xr:uid="{00000000-0009-0000-0100-00000C000000}">
    <filterColumn colId="0" hiddenButton="1"/>
  </autoFilter>
  <tableColumns count="1">
    <tableColumn id="1" xr3:uid="{00000000-0010-0000-0B00-000001000000}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TaskCommentAdjacentTeams" displayName="tblTaskCommentAdjacentTeams" ref="C3:C12">
  <autoFilter ref="C3:C12" xr:uid="{00000000-0009-0000-0100-00000D000000}">
    <filterColumn colId="0" hiddenButton="1"/>
  </autoFilter>
  <tableColumns count="1">
    <tableColumn id="1" xr3:uid="{00000000-0010-0000-0C00-000001000000}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ht="29.5" x14ac:dyDescent="0.75">
      <c r="A7" s="3" t="s">
        <v>56</v>
      </c>
      <c r="B7" s="10">
        <v>65</v>
      </c>
      <c r="C7" s="3" t="s">
        <v>57</v>
      </c>
    </row>
    <row r="8" spans="1:5" ht="29.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176</v>
      </c>
    </row>
    <row r="15" spans="1:5" x14ac:dyDescent="0.75">
      <c r="A15" s="11">
        <v>46114</v>
      </c>
      <c r="B15" s="4"/>
      <c r="C15" s="4"/>
      <c r="D15" s="7" t="s">
        <v>176</v>
      </c>
    </row>
    <row r="16" spans="1:5" x14ac:dyDescent="0.75">
      <c r="A16" s="11">
        <v>46115</v>
      </c>
      <c r="B16" s="4"/>
      <c r="C16" s="4"/>
      <c r="D16" s="7" t="s">
        <v>176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ht="29.5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IFERROR(ROUNDDOWN(((E7*E8-E14)*E20)+((E7*E13-E19)*E22),0),0)</f>
        <v>117</v>
      </c>
      <c r="F27" s="19">
        <f>IFERROR(E27*'00_Настройки'!B$8,0)</f>
        <v>936</v>
      </c>
    </row>
    <row r="28" spans="3:13" x14ac:dyDescent="0.75">
      <c r="C28" s="55" t="s">
        <v>90</v>
      </c>
      <c r="D28" s="55"/>
      <c r="E28" s="19">
        <f>IFERROR(ROUNDDOWN(((E7*E9-E15)*E20)+((E7*E12-E18)*E21),0),0)</f>
        <v>117</v>
      </c>
      <c r="F28" s="19">
        <f>IFERROR(E28*'00_Настройки'!B$8,0)</f>
        <v>936</v>
      </c>
    </row>
    <row r="29" spans="3:13" x14ac:dyDescent="0.75">
      <c r="C29" s="55" t="s">
        <v>91</v>
      </c>
      <c r="D29" s="55"/>
      <c r="E29" s="19">
        <f>IFERROR(ROUNDDOWN((E7*E10-E16)*E20,0),0)</f>
        <v>86</v>
      </c>
      <c r="F29" s="19">
        <f>IFERROR(E29*'00_Настройки'!B$8,0)</f>
        <v>688</v>
      </c>
    </row>
    <row r="30" spans="3:13" x14ac:dyDescent="0.75">
      <c r="C30" s="55" t="s">
        <v>92</v>
      </c>
      <c r="D30" s="55"/>
      <c r="E30" s="19">
        <f>IFERROR(ROUNDDOWN((E7*E11-E17)*E20,0),0)</f>
        <v>130</v>
      </c>
      <c r="F30" s="19">
        <f>IFERROR(E30*'00_Настройки'!B$8,0)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  <col min="14" max="14" width="5.86328125" customWidth="1"/>
  </cols>
  <sheetData>
    <row r="1" spans="1:14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4" x14ac:dyDescent="0.75">
      <c r="A2" s="60" t="s">
        <v>98</v>
      </c>
      <c r="B2" s="60"/>
      <c r="C2" s="21" t="s">
        <v>99</v>
      </c>
      <c r="D2" s="21" t="s">
        <v>100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4" x14ac:dyDescent="0.7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  <c r="N3" s="2" t="s">
        <v>112</v>
      </c>
    </row>
    <row r="4" spans="1:14" x14ac:dyDescent="0.75">
      <c r="A4" s="21" t="s">
        <v>101</v>
      </c>
      <c r="B4" s="21" t="s">
        <v>20</v>
      </c>
      <c r="C4" s="5">
        <v>10</v>
      </c>
      <c r="D4" s="4" t="s">
        <v>113</v>
      </c>
      <c r="E4" s="4" t="s">
        <v>114</v>
      </c>
      <c r="F4" s="4" t="s">
        <v>115</v>
      </c>
      <c r="G4" s="4" t="s">
        <v>116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  <c r="N4" s="21" t="s">
        <v>112</v>
      </c>
    </row>
    <row r="5" spans="1:14" x14ac:dyDescent="0.75">
      <c r="A5" s="21" t="s">
        <v>101</v>
      </c>
      <c r="B5" s="21" t="s">
        <v>20</v>
      </c>
      <c r="C5" s="5">
        <v>20</v>
      </c>
      <c r="D5" s="4" t="s">
        <v>117</v>
      </c>
      <c r="E5" s="4" t="s">
        <v>118</v>
      </c>
      <c r="F5" s="4" t="s">
        <v>119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  <c r="N5" s="21" t="s">
        <v>112</v>
      </c>
    </row>
    <row r="6" spans="1:14" x14ac:dyDescent="0.75">
      <c r="A6" s="21" t="s">
        <v>101</v>
      </c>
      <c r="B6" s="21" t="s">
        <v>20</v>
      </c>
      <c r="C6" s="5">
        <v>30</v>
      </c>
      <c r="D6" s="4" t="s">
        <v>120</v>
      </c>
      <c r="E6" s="4" t="s">
        <v>121</v>
      </c>
      <c r="F6" s="4" t="s">
        <v>122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  <c r="N6" s="21" t="s">
        <v>112</v>
      </c>
    </row>
    <row r="7" spans="1:14" x14ac:dyDescent="0.75">
      <c r="A7" s="21" t="s">
        <v>101</v>
      </c>
      <c r="B7" s="21" t="s">
        <v>20</v>
      </c>
      <c r="C7" s="5">
        <v>40</v>
      </c>
      <c r="D7" s="4" t="s">
        <v>123</v>
      </c>
      <c r="E7" s="4" t="s">
        <v>124</v>
      </c>
      <c r="F7" s="4" t="s">
        <v>125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  <c r="N7" s="21" t="s">
        <v>112</v>
      </c>
    </row>
    <row r="8" spans="1:14" x14ac:dyDescent="0.75">
      <c r="A8" s="21" t="s">
        <v>101</v>
      </c>
      <c r="B8" s="21" t="s">
        <v>20</v>
      </c>
      <c r="C8" s="5">
        <v>50</v>
      </c>
      <c r="D8" s="4" t="s">
        <v>126</v>
      </c>
      <c r="E8" s="4" t="s">
        <v>127</v>
      </c>
      <c r="F8" s="4" t="s">
        <v>128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  <c r="N8" s="21" t="s">
        <v>112</v>
      </c>
    </row>
    <row r="9" spans="1:14" x14ac:dyDescent="0.75">
      <c r="A9" s="21" t="s">
        <v>101</v>
      </c>
      <c r="B9" s="21" t="s">
        <v>20</v>
      </c>
      <c r="C9" s="5">
        <v>60</v>
      </c>
      <c r="D9" s="4" t="s">
        <v>129</v>
      </c>
      <c r="E9" s="4" t="s">
        <v>130</v>
      </c>
      <c r="F9" s="4" t="s">
        <v>131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  <c r="N9" s="21" t="s">
        <v>112</v>
      </c>
    </row>
    <row r="10" spans="1:14" x14ac:dyDescent="0.75">
      <c r="A10" s="21" t="s">
        <v>101</v>
      </c>
      <c r="B10" s="21" t="s">
        <v>20</v>
      </c>
      <c r="C10" s="5">
        <v>70</v>
      </c>
      <c r="D10" s="4" t="s">
        <v>132</v>
      </c>
      <c r="E10" s="4" t="s">
        <v>133</v>
      </c>
      <c r="F10" s="4" t="s">
        <v>134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  <c r="N10" s="21" t="s">
        <v>112</v>
      </c>
    </row>
    <row r="11" spans="1:14" x14ac:dyDescent="0.75">
      <c r="A11" s="21" t="s">
        <v>101</v>
      </c>
      <c r="B11" s="21" t="s">
        <v>20</v>
      </c>
      <c r="C11" s="5">
        <v>80</v>
      </c>
      <c r="D11" s="4" t="s">
        <v>135</v>
      </c>
      <c r="E11" s="4" t="s">
        <v>136</v>
      </c>
      <c r="F11" s="4" t="s">
        <v>137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  <c r="N11" s="21" t="s">
        <v>112</v>
      </c>
    </row>
    <row r="12" spans="1:14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  <c r="N12" s="21" t="s">
        <v>20</v>
      </c>
    </row>
    <row r="13" spans="1:14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  <c r="N13" s="21" t="s">
        <v>20</v>
      </c>
    </row>
    <row r="14" spans="1:14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  <c r="N14" s="21" t="s">
        <v>20</v>
      </c>
    </row>
    <row r="15" spans="1:14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  <c r="N15" s="21" t="s">
        <v>20</v>
      </c>
    </row>
    <row r="16" spans="1:14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  <c r="N16" s="21" t="s">
        <v>20</v>
      </c>
    </row>
    <row r="17" spans="1:14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  <c r="N17" s="21" t="s">
        <v>20</v>
      </c>
    </row>
    <row r="18" spans="1:14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  <c r="N18" s="21" t="s">
        <v>20</v>
      </c>
    </row>
    <row r="19" spans="1:14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  <c r="N19" s="21" t="s">
        <v>20</v>
      </c>
    </row>
    <row r="20" spans="1:14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  <c r="N20" s="21" t="s">
        <v>20</v>
      </c>
    </row>
    <row r="21" spans="1:14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  <c r="N21" s="21" t="s">
        <v>20</v>
      </c>
    </row>
    <row r="22" spans="1:14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  <c r="N22" s="21" t="s">
        <v>20</v>
      </c>
    </row>
    <row r="23" spans="1:14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  <c r="N23" s="21" t="s">
        <v>20</v>
      </c>
    </row>
    <row r="24" spans="1:14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  <c r="N24" s="21" t="s">
        <v>20</v>
      </c>
    </row>
    <row r="25" spans="1:14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  <c r="N25" s="21" t="s">
        <v>20</v>
      </c>
    </row>
    <row r="26" spans="1:14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  <c r="N26" s="21" t="s">
        <v>20</v>
      </c>
    </row>
    <row r="27" spans="1:14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  <c r="N27" s="21" t="s">
        <v>20</v>
      </c>
    </row>
    <row r="28" spans="1:14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  <c r="N28" s="21" t="s">
        <v>20</v>
      </c>
    </row>
    <row r="29" spans="1:14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  <c r="N29" s="21" t="s">
        <v>20</v>
      </c>
    </row>
    <row r="30" spans="1:14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  <c r="N30" s="21" t="s">
        <v>20</v>
      </c>
    </row>
    <row r="31" spans="1:14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  <c r="N31" s="21" t="s">
        <v>20</v>
      </c>
    </row>
    <row r="32" spans="1:14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  <c r="N32" s="21" t="s">
        <v>20</v>
      </c>
    </row>
    <row r="33" spans="1:14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  <c r="N33" s="21" t="s">
        <v>20</v>
      </c>
    </row>
    <row r="34" spans="1:14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  <c r="N34" s="21" t="s">
        <v>20</v>
      </c>
    </row>
    <row r="35" spans="1:14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  <c r="N35" s="21" t="s">
        <v>20</v>
      </c>
    </row>
    <row r="36" spans="1:14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  <c r="N36" s="21" t="s">
        <v>20</v>
      </c>
    </row>
    <row r="37" spans="1:14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  <c r="N37" s="21" t="s">
        <v>20</v>
      </c>
    </row>
    <row r="38" spans="1:14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  <c r="N38" s="21" t="s">
        <v>20</v>
      </c>
    </row>
    <row r="39" spans="1:14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  <c r="N39" s="21" t="s">
        <v>20</v>
      </c>
    </row>
    <row r="40" spans="1:14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  <c r="N40" s="21" t="s">
        <v>20</v>
      </c>
    </row>
    <row r="41" spans="1:14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  <c r="N41" s="21" t="s">
        <v>20</v>
      </c>
    </row>
    <row r="42" spans="1:14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  <c r="N42" s="21" t="s">
        <v>20</v>
      </c>
    </row>
    <row r="43" spans="1:14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  <c r="N43" s="21" t="s">
        <v>20</v>
      </c>
    </row>
    <row r="44" spans="1:14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  <c r="N44" s="21" t="s">
        <v>20</v>
      </c>
    </row>
    <row r="45" spans="1:14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  <c r="N45" s="21" t="s">
        <v>20</v>
      </c>
    </row>
    <row r="46" spans="1:14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  <c r="N46" s="21" t="s">
        <v>20</v>
      </c>
    </row>
    <row r="47" spans="1:14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  <c r="N47" s="21" t="s">
        <v>20</v>
      </c>
    </row>
    <row r="48" spans="1:14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  <c r="N48" s="21" t="s">
        <v>20</v>
      </c>
    </row>
    <row r="49" spans="1:14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  <c r="N49" s="21" t="s">
        <v>20</v>
      </c>
    </row>
    <row r="50" spans="1:14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  <c r="N50" s="21" t="s">
        <v>20</v>
      </c>
    </row>
    <row r="51" spans="1:14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  <c r="N51" s="21" t="s">
        <v>20</v>
      </c>
    </row>
    <row r="52" spans="1:14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  <c r="N52" s="21" t="s">
        <v>20</v>
      </c>
    </row>
    <row r="53" spans="1:14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  <c r="N53" s="21" t="s">
        <v>20</v>
      </c>
    </row>
    <row r="54" spans="1:14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  <c r="N54" s="21" t="s">
        <v>20</v>
      </c>
    </row>
    <row r="55" spans="1:14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  <c r="N55" s="21" t="s">
        <v>20</v>
      </c>
    </row>
    <row r="56" spans="1:14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  <c r="N56" s="21" t="s">
        <v>20</v>
      </c>
    </row>
    <row r="57" spans="1:14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  <c r="N57" s="21" t="s">
        <v>20</v>
      </c>
    </row>
    <row r="58" spans="1:14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  <c r="N58" s="21" t="s">
        <v>20</v>
      </c>
    </row>
    <row r="59" spans="1:14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  <c r="N59" s="21" t="s">
        <v>20</v>
      </c>
    </row>
    <row r="60" spans="1:14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  <c r="N60" s="21" t="s">
        <v>20</v>
      </c>
    </row>
    <row r="61" spans="1:14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  <c r="N61" s="21" t="s">
        <v>20</v>
      </c>
    </row>
    <row r="62" spans="1:14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  <c r="N62" s="21" t="s">
        <v>20</v>
      </c>
    </row>
    <row r="63" spans="1:14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  <c r="N63" s="21" t="s">
        <v>20</v>
      </c>
    </row>
    <row r="64" spans="1:14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  <c r="N64" s="21" t="s">
        <v>20</v>
      </c>
    </row>
    <row r="65" spans="1:14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  <c r="N65" s="21" t="s">
        <v>20</v>
      </c>
    </row>
    <row r="66" spans="1:14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  <c r="N66" s="21" t="s">
        <v>20</v>
      </c>
    </row>
    <row r="67" spans="1:14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  <c r="N67" s="21" t="s">
        <v>20</v>
      </c>
    </row>
    <row r="68" spans="1:14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  <c r="N68" s="21" t="s">
        <v>20</v>
      </c>
    </row>
    <row r="69" spans="1:14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  <c r="N69" s="21" t="s">
        <v>20</v>
      </c>
    </row>
    <row r="70" spans="1:14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  <c r="N70" s="21" t="s">
        <v>20</v>
      </c>
    </row>
    <row r="71" spans="1:14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  <c r="N71" s="21" t="s">
        <v>20</v>
      </c>
    </row>
    <row r="72" spans="1:14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  <c r="N72" s="21" t="s">
        <v>20</v>
      </c>
    </row>
    <row r="73" spans="1:14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  <c r="N73" s="21" t="s">
        <v>20</v>
      </c>
    </row>
    <row r="74" spans="1:14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  <c r="N74" s="21" t="s">
        <v>20</v>
      </c>
    </row>
    <row r="75" spans="1:14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  <c r="N75" s="21" t="s">
        <v>20</v>
      </c>
    </row>
    <row r="76" spans="1:14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  <c r="N76" s="21" t="s">
        <v>20</v>
      </c>
    </row>
    <row r="77" spans="1:14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  <c r="N77" s="21" t="s">
        <v>20</v>
      </c>
    </row>
    <row r="78" spans="1:14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  <c r="N78" s="21" t="s">
        <v>20</v>
      </c>
    </row>
    <row r="79" spans="1:14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  <c r="N79" s="21" t="s">
        <v>20</v>
      </c>
    </row>
    <row r="80" spans="1:14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  <c r="N80" s="21" t="s">
        <v>20</v>
      </c>
    </row>
    <row r="81" spans="1:14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  <c r="N81" s="21" t="s">
        <v>20</v>
      </c>
    </row>
    <row r="82" spans="1:14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  <c r="N82" s="21" t="s">
        <v>20</v>
      </c>
    </row>
    <row r="83" spans="1:14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  <c r="N83" s="21" t="s">
        <v>20</v>
      </c>
    </row>
    <row r="84" spans="1:14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  <c r="N84" s="21" t="s">
        <v>20</v>
      </c>
    </row>
    <row r="85" spans="1:14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  <c r="N85" s="21" t="s">
        <v>20</v>
      </c>
    </row>
    <row r="86" spans="1:14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  <c r="N86" s="21" t="s">
        <v>20</v>
      </c>
    </row>
    <row r="87" spans="1:14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  <c r="N87" s="21" t="s">
        <v>20</v>
      </c>
    </row>
    <row r="88" spans="1:14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  <c r="N88" s="21" t="s">
        <v>20</v>
      </c>
    </row>
    <row r="89" spans="1:14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  <c r="N89" s="21" t="s">
        <v>20</v>
      </c>
    </row>
    <row r="90" spans="1:14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  <c r="N90" s="21" t="s">
        <v>20</v>
      </c>
    </row>
    <row r="91" spans="1:14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  <c r="N91" s="21" t="s">
        <v>20</v>
      </c>
    </row>
    <row r="92" spans="1:14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  <c r="N92" s="21" t="s">
        <v>20</v>
      </c>
    </row>
    <row r="93" spans="1:14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  <c r="N93" s="21" t="s">
        <v>20</v>
      </c>
    </row>
    <row r="94" spans="1:14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  <c r="N94" s="21" t="s">
        <v>20</v>
      </c>
    </row>
    <row r="95" spans="1:14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  <c r="N95" s="21" t="s">
        <v>20</v>
      </c>
    </row>
    <row r="96" spans="1:14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  <c r="N96" s="21" t="s">
        <v>20</v>
      </c>
    </row>
    <row r="97" spans="1:14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  <c r="N97" s="21" t="s">
        <v>20</v>
      </c>
    </row>
    <row r="98" spans="1:14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  <c r="N98" s="21" t="s">
        <v>20</v>
      </c>
    </row>
    <row r="99" spans="1:14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  <c r="N99" s="21" t="s">
        <v>20</v>
      </c>
    </row>
    <row r="100" spans="1:14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  <c r="N100" s="21" t="s">
        <v>20</v>
      </c>
    </row>
    <row r="101" spans="1:14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  <c r="N101" s="21" t="s">
        <v>20</v>
      </c>
    </row>
    <row r="102" spans="1:14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  <c r="N102" s="21" t="s">
        <v>20</v>
      </c>
    </row>
    <row r="103" spans="1:14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  <c r="N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139</v>
      </c>
      <c r="J2" s="24" t="s">
        <v>140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141</v>
      </c>
      <c r="Q2" s="48" t="s">
        <v>142</v>
      </c>
    </row>
    <row r="3" spans="1:32" x14ac:dyDescent="0.75">
      <c r="G3" s="48"/>
      <c r="J3" s="24" t="s">
        <v>143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J4" s="24" t="s">
        <v>144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ht="29.5" x14ac:dyDescent="0.75">
      <c r="A5" s="26" t="s">
        <v>112</v>
      </c>
      <c r="B5" s="26" t="s">
        <v>145</v>
      </c>
      <c r="C5" s="26" t="s">
        <v>146</v>
      </c>
      <c r="D5" s="26" t="s">
        <v>147</v>
      </c>
      <c r="E5" s="26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30" spans="1:32" ht="29.5" x14ac:dyDescent="0.75">
      <c r="A30" s="26" t="s">
        <v>112</v>
      </c>
      <c r="B30" s="26" t="s">
        <v>145</v>
      </c>
      <c r="C30" s="26" t="s">
        <v>146</v>
      </c>
      <c r="D30" s="26" t="s">
        <v>147</v>
      </c>
      <c r="E30" s="26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167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168</v>
      </c>
    </row>
    <row r="55" spans="1:32" ht="29.5" x14ac:dyDescent="0.75">
      <c r="A55" s="26" t="s">
        <v>112</v>
      </c>
      <c r="B55" s="26" t="s">
        <v>145</v>
      </c>
      <c r="C55" s="26" t="s">
        <v>146</v>
      </c>
      <c r="D55" s="26" t="s">
        <v>147</v>
      </c>
      <c r="E55" s="26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75">
      <c r="A56" s="27" t="s">
        <v>112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113</v>
      </c>
      <c r="H56" s="29" t="s">
        <v>114</v>
      </c>
      <c r="I56" s="29" t="s">
        <v>115</v>
      </c>
      <c r="J56" s="29" t="s">
        <v>116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112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117</v>
      </c>
      <c r="H57" s="29" t="s">
        <v>118</v>
      </c>
      <c r="I57" s="29" t="s">
        <v>119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112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120</v>
      </c>
      <c r="H58" s="29" t="s">
        <v>121</v>
      </c>
      <c r="I58" s="29" t="s">
        <v>122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112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123</v>
      </c>
      <c r="H59" s="29" t="s">
        <v>124</v>
      </c>
      <c r="I59" s="29" t="s">
        <v>125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112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126</v>
      </c>
      <c r="H60" s="29" t="s">
        <v>127</v>
      </c>
      <c r="I60" s="29" t="s">
        <v>128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112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129</v>
      </c>
      <c r="H61" s="29" t="s">
        <v>130</v>
      </c>
      <c r="I61" s="29" t="s">
        <v>131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112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132</v>
      </c>
      <c r="H62" s="29" t="s">
        <v>133</v>
      </c>
      <c r="I62" s="29" t="s">
        <v>134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112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135</v>
      </c>
      <c r="H63" s="29" t="s">
        <v>136</v>
      </c>
      <c r="I63" s="29" t="s">
        <v>137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48" t="s">
        <v>169</v>
      </c>
      <c r="B1" s="48"/>
      <c r="C1" s="48"/>
      <c r="D1" s="48"/>
    </row>
    <row r="3" spans="1:7" ht="29.5" x14ac:dyDescent="0.7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7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7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7" x14ac:dyDescent="0.75">
      <c r="A6" s="3" t="s">
        <v>110</v>
      </c>
      <c r="B6" s="3" t="s">
        <v>180</v>
      </c>
      <c r="C6" s="3">
        <v>3</v>
      </c>
      <c r="E6" s="3" t="s">
        <v>181</v>
      </c>
    </row>
    <row r="7" spans="1:7" x14ac:dyDescent="0.75">
      <c r="A7" s="3" t="s">
        <v>111</v>
      </c>
      <c r="B7" s="3" t="s">
        <v>182</v>
      </c>
      <c r="C7" s="3">
        <v>4</v>
      </c>
      <c r="E7" s="3" t="s">
        <v>183</v>
      </c>
    </row>
    <row r="8" spans="1:7" x14ac:dyDescent="0.75">
      <c r="E8" s="3" t="s">
        <v>184</v>
      </c>
    </row>
    <row r="9" spans="1:7" x14ac:dyDescent="0.75">
      <c r="E9" s="3" t="s">
        <v>185</v>
      </c>
    </row>
    <row r="10" spans="1:7" x14ac:dyDescent="0.75">
      <c r="E10" s="3" t="s">
        <v>186</v>
      </c>
    </row>
    <row r="11" spans="1:7" x14ac:dyDescent="0.75">
      <c r="A11" s="51" t="s">
        <v>187</v>
      </c>
      <c r="B11" s="51"/>
      <c r="C11" s="51"/>
      <c r="D11" s="51"/>
      <c r="E11" s="51"/>
      <c r="F11" s="51"/>
      <c r="G11" s="51"/>
    </row>
    <row r="13" spans="1:7" x14ac:dyDescent="0.75">
      <c r="A13" s="2" t="s">
        <v>188</v>
      </c>
      <c r="B13" s="49" t="s">
        <v>105</v>
      </c>
      <c r="C13" s="49"/>
      <c r="D13" s="49"/>
      <c r="E13" s="49"/>
      <c r="F13" s="49"/>
      <c r="G13" s="49"/>
    </row>
    <row r="14" spans="1:7" x14ac:dyDescent="0.75">
      <c r="A14" s="3" t="s">
        <v>189</v>
      </c>
      <c r="B14" s="50" t="s">
        <v>190</v>
      </c>
      <c r="C14" s="50"/>
      <c r="D14" s="50"/>
      <c r="E14" s="50"/>
      <c r="F14" s="50"/>
      <c r="G14" s="50"/>
    </row>
    <row r="15" spans="1:7" x14ac:dyDescent="0.75">
      <c r="A15" s="3" t="s">
        <v>191</v>
      </c>
      <c r="B15" s="50" t="s">
        <v>192</v>
      </c>
      <c r="C15" s="50"/>
      <c r="D15" s="50"/>
      <c r="E15" s="50"/>
      <c r="F15" s="50"/>
      <c r="G15" s="50"/>
    </row>
    <row r="16" spans="1:7" x14ac:dyDescent="0.75">
      <c r="A16" s="3" t="s">
        <v>193</v>
      </c>
      <c r="B16" s="50" t="s">
        <v>194</v>
      </c>
      <c r="C16" s="50"/>
      <c r="D16" s="50"/>
      <c r="E16" s="50"/>
      <c r="F16" s="50"/>
      <c r="G16" s="50"/>
    </row>
    <row r="17" spans="1:7" x14ac:dyDescent="0.75">
      <c r="A17" s="3" t="s">
        <v>195</v>
      </c>
      <c r="B17" s="50" t="s">
        <v>196</v>
      </c>
      <c r="C17" s="50"/>
      <c r="D17" s="50"/>
      <c r="E17" s="50"/>
      <c r="F17" s="50"/>
      <c r="G17" s="50"/>
    </row>
    <row r="18" spans="1:7" x14ac:dyDescent="0.75">
      <c r="A18" s="3" t="s">
        <v>197</v>
      </c>
      <c r="B18" s="50" t="s">
        <v>198</v>
      </c>
      <c r="C18" s="50"/>
      <c r="D18" s="50"/>
      <c r="E18" s="50"/>
      <c r="F18" s="50"/>
      <c r="G18" s="50"/>
    </row>
    <row r="19" spans="1:7" x14ac:dyDescent="0.75">
      <c r="A19" s="3" t="s">
        <v>199</v>
      </c>
      <c r="B19" s="50" t="s">
        <v>200</v>
      </c>
      <c r="C19" s="50"/>
      <c r="D19" s="50"/>
      <c r="E19" s="50"/>
      <c r="F19" s="50"/>
      <c r="G19" s="50"/>
    </row>
    <row r="20" spans="1:7" x14ac:dyDescent="0.75">
      <c r="A20" s="3" t="s">
        <v>201</v>
      </c>
      <c r="B20" s="50" t="s">
        <v>202</v>
      </c>
      <c r="C20" s="50"/>
      <c r="D20" s="50"/>
      <c r="E20" s="50"/>
      <c r="F20" s="50"/>
      <c r="G20" s="50"/>
    </row>
    <row r="21" spans="1:7" x14ac:dyDescent="0.75">
      <c r="A21" s="3" t="s">
        <v>203</v>
      </c>
      <c r="B21" s="50" t="s">
        <v>204</v>
      </c>
      <c r="C21" s="50"/>
      <c r="D21" s="50"/>
      <c r="E21" s="50"/>
      <c r="F21" s="50"/>
      <c r="G21" s="50"/>
    </row>
    <row r="22" spans="1:7" x14ac:dyDescent="0.75">
      <c r="A22" s="3" t="s">
        <v>205</v>
      </c>
      <c r="B22" s="50" t="s">
        <v>206</v>
      </c>
      <c r="C22" s="50"/>
      <c r="D22" s="50"/>
      <c r="E22" s="50"/>
      <c r="F22" s="50"/>
      <c r="G22" s="50"/>
    </row>
    <row r="23" spans="1:7" x14ac:dyDescent="0.75">
      <c r="A23" s="3" t="s">
        <v>207</v>
      </c>
      <c r="B23" s="50" t="s">
        <v>208</v>
      </c>
      <c r="C23" s="50"/>
      <c r="D23" s="50"/>
      <c r="E23" s="50"/>
      <c r="F23" s="50"/>
      <c r="G23" s="50"/>
    </row>
    <row r="24" spans="1:7" x14ac:dyDescent="0.75">
      <c r="A24" s="3" t="s">
        <v>209</v>
      </c>
      <c r="B24" s="50" t="s">
        <v>210</v>
      </c>
      <c r="C24" s="50"/>
      <c r="D24" s="50"/>
      <c r="E24" s="50"/>
      <c r="F24" s="50"/>
      <c r="G24" s="50"/>
    </row>
    <row r="25" spans="1:7" x14ac:dyDescent="0.75">
      <c r="A25" s="3" t="s">
        <v>211</v>
      </c>
      <c r="B25" s="50" t="s">
        <v>212</v>
      </c>
      <c r="C25" s="50"/>
      <c r="D25" s="50"/>
      <c r="E25" s="50"/>
      <c r="F25" s="50"/>
      <c r="G25" s="50"/>
    </row>
    <row r="26" spans="1:7" x14ac:dyDescent="0.75">
      <c r="A26" s="3" t="s">
        <v>213</v>
      </c>
      <c r="B26" s="50" t="s">
        <v>214</v>
      </c>
      <c r="C26" s="50"/>
      <c r="D26" s="50"/>
      <c r="E26" s="50"/>
      <c r="F26" s="50"/>
      <c r="G26" s="50"/>
    </row>
    <row r="27" spans="1:7" x14ac:dyDescent="0.75">
      <c r="A27" s="3" t="s">
        <v>215</v>
      </c>
      <c r="B27" s="50" t="s">
        <v>216</v>
      </c>
      <c r="C27" s="50"/>
      <c r="D27" s="50"/>
      <c r="E27" s="50"/>
      <c r="F27" s="50"/>
      <c r="G27" s="50"/>
    </row>
    <row r="29" spans="1:7" x14ac:dyDescent="0.7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7" ht="29.5" x14ac:dyDescent="0.75">
      <c r="A30" s="3" t="s">
        <v>219</v>
      </c>
      <c r="B30" s="3" t="s">
        <v>220</v>
      </c>
      <c r="C30" s="33">
        <v>5</v>
      </c>
      <c r="D30" s="3" t="s">
        <v>221</v>
      </c>
      <c r="E30" s="3" t="s">
        <v>222</v>
      </c>
    </row>
    <row r="31" spans="1:7" ht="29.5" x14ac:dyDescent="0.75">
      <c r="A31" s="3" t="s">
        <v>223</v>
      </c>
      <c r="B31" s="3" t="s">
        <v>224</v>
      </c>
      <c r="C31" s="34">
        <v>0.5</v>
      </c>
      <c r="D31" s="3" t="s">
        <v>225</v>
      </c>
      <c r="E31" s="3" t="s">
        <v>226</v>
      </c>
    </row>
    <row r="32" spans="1:7" ht="29.5" x14ac:dyDescent="0.75">
      <c r="A32" s="3" t="s">
        <v>227</v>
      </c>
      <c r="B32" s="3" t="s">
        <v>228</v>
      </c>
      <c r="C32" s="33">
        <v>5</v>
      </c>
      <c r="D32" s="3" t="s">
        <v>221</v>
      </c>
      <c r="E32" s="3" t="s">
        <v>229</v>
      </c>
    </row>
    <row r="33" spans="1:5" ht="29.5" x14ac:dyDescent="0.75">
      <c r="A33" s="3" t="s">
        <v>230</v>
      </c>
      <c r="B33" s="3" t="s">
        <v>231</v>
      </c>
      <c r="C33" s="34">
        <v>0.5</v>
      </c>
      <c r="D33" s="3" t="s">
        <v>225</v>
      </c>
      <c r="E33" s="3" t="s">
        <v>232</v>
      </c>
    </row>
    <row r="34" spans="1:5" ht="29.5" x14ac:dyDescent="0.75">
      <c r="A34" s="3" t="s">
        <v>233</v>
      </c>
      <c r="B34" s="3" t="s">
        <v>234</v>
      </c>
      <c r="C34" s="34">
        <v>0.5</v>
      </c>
      <c r="D34" s="3" t="s">
        <v>225</v>
      </c>
      <c r="E34" s="3" t="s">
        <v>235</v>
      </c>
    </row>
    <row r="35" spans="1:5" ht="29.5" x14ac:dyDescent="0.75">
      <c r="A35" s="3" t="s">
        <v>236</v>
      </c>
      <c r="B35" s="3" t="s">
        <v>237</v>
      </c>
      <c r="C35" s="34">
        <v>0.2</v>
      </c>
      <c r="D35" s="3" t="s">
        <v>225</v>
      </c>
      <c r="E35" s="3" t="s">
        <v>238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239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240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241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242</v>
      </c>
      <c r="N2" s="64" t="s">
        <v>243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244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245</v>
      </c>
      <c r="N3" s="66" t="s">
        <v>246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247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248</v>
      </c>
      <c r="N4" s="64" t="s">
        <v>249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250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251</v>
      </c>
      <c r="N5" s="66" t="s">
        <v>252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253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254</v>
      </c>
      <c r="N6" s="64" t="s">
        <v>255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256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257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258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259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260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261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262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263</v>
      </c>
      <c r="B15" s="66"/>
      <c r="C15" s="66"/>
      <c r="D15" s="66"/>
      <c r="E15" s="65" t="s">
        <v>103</v>
      </c>
      <c r="F15" s="65" t="s">
        <v>264</v>
      </c>
      <c r="G15" s="65" t="s">
        <v>265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266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108</v>
      </c>
      <c r="H16" s="39" t="s">
        <v>267</v>
      </c>
      <c r="I16" s="39" t="s">
        <v>109</v>
      </c>
      <c r="J16" s="39" t="s">
        <v>110</v>
      </c>
      <c r="K16" s="39" t="s">
        <v>111</v>
      </c>
      <c r="L16" s="39" t="s">
        <v>268</v>
      </c>
      <c r="M16" s="38" t="s">
        <v>20</v>
      </c>
      <c r="N16" s="46" t="s">
        <v>269</v>
      </c>
      <c r="O16" s="38" t="s">
        <v>20</v>
      </c>
      <c r="P16" s="46" t="s">
        <v>174</v>
      </c>
      <c r="Q16" s="46" t="s">
        <v>267</v>
      </c>
      <c r="R16" s="46" t="s">
        <v>109</v>
      </c>
      <c r="S16" s="46" t="s">
        <v>110</v>
      </c>
      <c r="T16" s="46" t="s">
        <v>111</v>
      </c>
      <c r="U16" s="46" t="s">
        <v>270</v>
      </c>
      <c r="V16" s="46" t="s">
        <v>271</v>
      </c>
      <c r="W16" s="46" t="s">
        <v>272</v>
      </c>
    </row>
    <row r="17" spans="1:23" x14ac:dyDescent="0.75">
      <c r="A17" s="66" t="s">
        <v>273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274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275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276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277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278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279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275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277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279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6.40625" customWidth="1"/>
    <col min="2" max="2" width="4.26953125" customWidth="1"/>
    <col min="3" max="3" width="36.40625" customWidth="1"/>
  </cols>
  <sheetData>
    <row r="1" spans="1:3" x14ac:dyDescent="0.75">
      <c r="A1" s="48" t="s">
        <v>280</v>
      </c>
      <c r="B1" s="48"/>
      <c r="C1" s="48"/>
    </row>
    <row r="3" spans="1:3" x14ac:dyDescent="0.75">
      <c r="A3" s="2" t="s">
        <v>281</v>
      </c>
      <c r="C3" s="2" t="s">
        <v>282</v>
      </c>
    </row>
    <row r="4" spans="1:3" x14ac:dyDescent="0.75">
      <c r="A4" s="4" t="s">
        <v>283</v>
      </c>
      <c r="C4" s="4" t="s">
        <v>284</v>
      </c>
    </row>
    <row r="5" spans="1:3" x14ac:dyDescent="0.75">
      <c r="A5" s="4" t="s">
        <v>285</v>
      </c>
      <c r="C5" s="4" t="s">
        <v>286</v>
      </c>
    </row>
    <row r="6" spans="1:3" x14ac:dyDescent="0.75">
      <c r="A6" s="4" t="s">
        <v>287</v>
      </c>
      <c r="C6" s="4" t="s">
        <v>288</v>
      </c>
    </row>
    <row r="7" spans="1:3" x14ac:dyDescent="0.75">
      <c r="A7" s="4" t="s">
        <v>289</v>
      </c>
      <c r="C7" s="4" t="s">
        <v>290</v>
      </c>
    </row>
    <row r="8" spans="1:3" x14ac:dyDescent="0.75">
      <c r="C8" s="4" t="s">
        <v>291</v>
      </c>
    </row>
    <row r="9" spans="1:3" x14ac:dyDescent="0.75">
      <c r="C9" s="4" t="s">
        <v>292</v>
      </c>
    </row>
    <row r="10" spans="1:3" x14ac:dyDescent="0.75">
      <c r="C10" s="4" t="s">
        <v>293</v>
      </c>
    </row>
    <row r="11" spans="1:3" x14ac:dyDescent="0.75">
      <c r="C11" s="4" t="s">
        <v>294</v>
      </c>
    </row>
    <row r="12" spans="1:3" x14ac:dyDescent="0.75">
      <c r="C12" s="4" t="s">
        <v>295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2026-08-27T16:02:35Z</dcterms:created>
  <dcterms:modified xsi:type="dcterms:W3CDTF">2026-08-27T16:50:50Z</dcterms:modified>
  <cp:category/>
</cp:coreProperties>
</file>