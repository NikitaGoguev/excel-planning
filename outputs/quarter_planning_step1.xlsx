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Настройки" state="visible" r:id="rId4"/>
    <sheet sheetId="2" name="01_Настройки квартала" state="visible" r:id="rId5"/>
    <sheet sheetId="3" name="02_Capacity" state="visible" r:id="rId6"/>
    <sheet sheetId="4" name="03_Оценка задач" state="visible" r:id="rId7"/>
    <sheet sheetId="5" name="04_Квартальный план" state="visible" r:id="rId8"/>
    <sheet sheetId="6" name="99_Правила планирования" state="visible" r:id="rId9"/>
    <sheet sheetId="7" name="100_Шаблон экспресс оценки" state="visible" r:id="rId10"/>
    <sheet sheetId="8" name="101_Списки" state="visible" r:id="rId11"/>
  </sheets>
  <calcPr calcId="171027" fullCalcOnLoad="1"/>
</workbook>
</file>

<file path=xl/sharedStrings.xml><?xml version="1.0" encoding="utf-8"?>
<sst xmlns="http://schemas.openxmlformats.org/spreadsheetml/2006/main" count="4977" uniqueCount="321">
  <si>
    <t>Настройки квартального планирования</t>
  </si>
  <si>
    <t>Параметр</t>
  </si>
  <si>
    <t>Значение</t>
  </si>
  <si>
    <t>Комментарий</t>
  </si>
  <si>
    <t>Команда</t>
  </si>
  <si>
    <t>Atlas</t>
  </si>
  <si>
    <t>Название команды или потока</t>
  </si>
  <si>
    <t>Руководитель / ИТ-лид</t>
  </si>
  <si>
    <t>Демо-руководитель</t>
  </si>
  <si>
    <t>Ответственный за планирование</t>
  </si>
  <si>
    <t>Год</t>
  </si>
  <si>
    <t>Календарный год квартала</t>
  </si>
  <si>
    <t>Квартал</t>
  </si>
  <si>
    <t>Номер квартала: 1, 2, 3 или 4</t>
  </si>
  <si>
    <t>Часов в рабочем дне</t>
  </si>
  <si>
    <t>Используется на шаге 2 для перевода ч/д в ч/ч</t>
  </si>
  <si>
    <t>Настройка команды</t>
  </si>
  <si>
    <t>Роль</t>
  </si>
  <si>
    <t>Количество людей</t>
  </si>
  <si>
    <t>Тим-лид / техлид</t>
  </si>
  <si>
    <t/>
  </si>
  <si>
    <t>Лид по аналитике</t>
  </si>
  <si>
    <t>Аналитик</t>
  </si>
  <si>
    <t>Разработчик бэкенд</t>
  </si>
  <si>
    <t>Разработчик фронтенд</t>
  </si>
  <si>
    <t>Тестировщик</t>
  </si>
  <si>
    <t>Дизайнер</t>
  </si>
  <si>
    <t>Сотрудники команды</t>
  </si>
  <si>
    <t>Сотрудник</t>
  </si>
  <si>
    <t>Аллокация</t>
  </si>
  <si>
    <t>Отпуск 1 с</t>
  </si>
  <si>
    <t>Отпуск 1 по</t>
  </si>
  <si>
    <t>Отпуск 1 дней</t>
  </si>
  <si>
    <t>Отпуск 2 с</t>
  </si>
  <si>
    <t>Отпуск 2 по</t>
  </si>
  <si>
    <t>Отпуск 2 дней</t>
  </si>
  <si>
    <t>Отпуск 3 с</t>
  </si>
  <si>
    <t>Отпуск 3 по</t>
  </si>
  <si>
    <t>Отпуск 3 дней</t>
  </si>
  <si>
    <t>Тим-лид / техлид 1</t>
  </si>
  <si>
    <t>Лид по аналитике 1</t>
  </si>
  <si>
    <t>Аналитик 1</t>
  </si>
  <si>
    <t>Аналитик 2</t>
  </si>
  <si>
    <t>Разработчик бэкенд 1</t>
  </si>
  <si>
    <t>Разработчик бэкенд 2</t>
  </si>
  <si>
    <t>Разработчик фронтенд 1</t>
  </si>
  <si>
    <t>Разработчик фронтенд 2</t>
  </si>
  <si>
    <t>Тестировщик 1</t>
  </si>
  <si>
    <t>Тестировщик 2</t>
  </si>
  <si>
    <t>Тестировщик 3</t>
  </si>
  <si>
    <t>Дизайнер 1</t>
  </si>
  <si>
    <t>Настройки квартала</t>
  </si>
  <si>
    <t>Дата начала</t>
  </si>
  <si>
    <t>Первый календарный день планируемого квартала</t>
  </si>
  <si>
    <t>Дата завершения</t>
  </si>
  <si>
    <t>Последний календарный день планируемого квартала</t>
  </si>
  <si>
    <t>Количество рабочих дней</t>
  </si>
  <si>
    <t>Рабочие дни по производственному календарю; заполняется вручную</t>
  </si>
  <si>
    <t>Будние дни по календарю</t>
  </si>
  <si>
    <t>Автоматически: количество дней Пн-Пт между датой начала и датой завершения</t>
  </si>
  <si>
    <t>Праздничных дней к заполнению</t>
  </si>
  <si>
    <t>Автоматически: будние дни по календарю минус введенное количество рабочих дней</t>
  </si>
  <si>
    <t>Список праздничных дней</t>
  </si>
  <si>
    <t>Дата</t>
  </si>
  <si>
    <t>Название</t>
  </si>
  <si>
    <t>Учитывать</t>
  </si>
  <si>
    <t>Capacity команды</t>
  </si>
  <si>
    <t>ИТ-лид команды</t>
  </si>
  <si>
    <t>Показатель</t>
  </si>
  <si>
    <t>Авто 00</t>
  </si>
  <si>
    <t>Переопределение</t>
  </si>
  <si>
    <t>Количество рабочих дней в квартале</t>
  </si>
  <si>
    <t>Количество аналитиков в команде</t>
  </si>
  <si>
    <t>Количество разработчиков BE в команде</t>
  </si>
  <si>
    <t>Количество разработчиков FE в команде</t>
  </si>
  <si>
    <t>Количество тестировщиков в команде</t>
  </si>
  <si>
    <t>Тим лид команды (разработка BE/FE, тестирование)</t>
  </si>
  <si>
    <t>Отпуска аналитиков</t>
  </si>
  <si>
    <t>Отпуска разработчиков BE</t>
  </si>
  <si>
    <t>Отпуска разработчиков FE</t>
  </si>
  <si>
    <t>Отпуска тестировщиков</t>
  </si>
  <si>
    <t>Отпуска тим лида команды (разработка BE, тестирование)</t>
  </si>
  <si>
    <t>Отпуска лида по аналитике</t>
  </si>
  <si>
    <t>Фокус-фактор основной команды</t>
  </si>
  <si>
    <t>- заполняется вручную для каждой команды, рекомендуемое значение - 70%</t>
  </si>
  <si>
    <t>Фокус-фактор тим лида</t>
  </si>
  <si>
    <t>- заполняется вручную для каждой команды</t>
  </si>
  <si>
    <t>Фокус-фактор лида по аналитике</t>
  </si>
  <si>
    <t>- заполняется вручную для каждой команды (ограничение - не менее 50%)</t>
  </si>
  <si>
    <t>Количество дизайнеров</t>
  </si>
  <si>
    <t>Отпуска дизайнеров</t>
  </si>
  <si>
    <t>Фокус-фактор дизайнеров</t>
  </si>
  <si>
    <t>- заполняется вручную для дизайнеров, рекомендуемое значение - 70%</t>
  </si>
  <si>
    <t>ч/д</t>
  </si>
  <si>
    <t>ч/ч</t>
  </si>
  <si>
    <t>Capacity по аналитикам</t>
  </si>
  <si>
    <t>Capacity по разработчикам BE</t>
  </si>
  <si>
    <t>Capacity по разработчикам FE</t>
  </si>
  <si>
    <t>Capacity по тестировщикам</t>
  </si>
  <si>
    <t>Общее Capacity</t>
  </si>
  <si>
    <t>Capacity по дизайнерам</t>
  </si>
  <si>
    <t>Общее Capacity с дизайнерами</t>
  </si>
  <si>
    <t>Экспорт</t>
  </si>
  <si>
    <t>Импорт</t>
  </si>
  <si>
    <t>Оценка задач</t>
  </si>
  <si>
    <t>Статистика</t>
  </si>
  <si>
    <t>Сбросить</t>
  </si>
  <si>
    <t>Обновить</t>
  </si>
  <si>
    <t>Импорт CSV (до 100)</t>
  </si>
  <si>
    <t>JQL</t>
  </si>
  <si>
    <t>&gt;</t>
  </si>
  <si>
    <t>x</t>
  </si>
  <si>
    <t>Приоритет</t>
  </si>
  <si>
    <t>Направление</t>
  </si>
  <si>
    <t>Описание</t>
  </si>
  <si>
    <t>ЗНИ/Jira</t>
  </si>
  <si>
    <t>Примечание</t>
  </si>
  <si>
    <t>DE</t>
  </si>
  <si>
    <t>AN</t>
  </si>
  <si>
    <t>BE</t>
  </si>
  <si>
    <t>FE</t>
  </si>
  <si>
    <t>QA</t>
  </si>
  <si>
    <t>+</t>
  </si>
  <si>
    <t>Личный кабинет</t>
  </si>
  <si>
    <t>Единый вход для пользователей</t>
  </si>
  <si>
    <t>PLAN-1001</t>
  </si>
  <si>
    <t>Демо</t>
  </si>
  <si>
    <t>Уведомления</t>
  </si>
  <si>
    <t>Настройка email-уведомлений</t>
  </si>
  <si>
    <t>PLAN-1002</t>
  </si>
  <si>
    <t>Каталог</t>
  </si>
  <si>
    <t>Поиск и фильтрация элементов</t>
  </si>
  <si>
    <t>PLAN-1003</t>
  </si>
  <si>
    <t>Отчётность</t>
  </si>
  <si>
    <t>Экспорт отчёта в XLSX</t>
  </si>
  <si>
    <t>PLAN-1004</t>
  </si>
  <si>
    <t>Профиль</t>
  </si>
  <si>
    <t>Управление настройками профиля</t>
  </si>
  <si>
    <t>PLAN-1005</t>
  </si>
  <si>
    <t>Интеграции</t>
  </si>
  <si>
    <t>Публичный API чтения статусов</t>
  </si>
  <si>
    <t>PLAN-1006</t>
  </si>
  <si>
    <t>Надёжность</t>
  </si>
  <si>
    <t>Мониторинг фоновых операций</t>
  </si>
  <si>
    <t>PLAN-1007</t>
  </si>
  <si>
    <t>Мобильный UX</t>
  </si>
  <si>
    <t>Адаптивная навигация</t>
  </si>
  <si>
    <t>PLAN-1008</t>
  </si>
  <si>
    <t>Квартальный план</t>
  </si>
  <si>
    <t>Загрузить 03 в бэклог</t>
  </si>
  <si>
    <t>Емкость</t>
  </si>
  <si>
    <t>Посчитать план</t>
  </si>
  <si>
    <t>Экспорт плана</t>
  </si>
  <si>
    <t>План+риск</t>
  </si>
  <si>
    <t>Баланс</t>
  </si>
  <si>
    <t>\</t>
  </si>
  <si>
    <t>-</t>
  </si>
  <si>
    <t>↑</t>
  </si>
  <si>
    <t>↓</t>
  </si>
  <si>
    <t>Трудозатраты</t>
  </si>
  <si>
    <t>Завершение (план)</t>
  </si>
  <si>
    <t>Релиз</t>
  </si>
  <si>
    <t>Статус на конец квартала</t>
  </si>
  <si>
    <t>DE дни</t>
  </si>
  <si>
    <t>AN дни</t>
  </si>
  <si>
    <t>BE дни</t>
  </si>
  <si>
    <t>FE дни</t>
  </si>
  <si>
    <t>QA дни</t>
  </si>
  <si>
    <t>DE старт</t>
  </si>
  <si>
    <t>DE финиш</t>
  </si>
  <si>
    <t>AN старт</t>
  </si>
  <si>
    <t>AN финиш</t>
  </si>
  <si>
    <t>BE старт</t>
  </si>
  <si>
    <t>BE финиш</t>
  </si>
  <si>
    <t>FE старт</t>
  </si>
  <si>
    <t>FE финиш</t>
  </si>
  <si>
    <t>QA старт</t>
  </si>
  <si>
    <t>QA финиш</t>
  </si>
  <si>
    <t>Диагностика</t>
  </si>
  <si>
    <t>Серая зона</t>
  </si>
  <si>
    <t>Бэклог</t>
  </si>
  <si>
    <t>++</t>
  </si>
  <si>
    <t>Правила планирования</t>
  </si>
  <si>
    <t>Экспертиза</t>
  </si>
  <si>
    <t>Waterfall порядок</t>
  </si>
  <si>
    <t>Аналитика</t>
  </si>
  <si>
    <t>Дизайн</t>
  </si>
  <si>
    <t>Backend-разработка</t>
  </si>
  <si>
    <t>Frontend-разработка</t>
  </si>
  <si>
    <t>Тестирование</t>
  </si>
  <si>
    <t>Правила квартального планирования</t>
  </si>
  <si>
    <t>Правило</t>
  </si>
  <si>
    <t>Единица оценки</t>
  </si>
  <si>
    <t>Оценки задач указаны в человеко-днях.</t>
  </si>
  <si>
    <t>Источник задач</t>
  </si>
  <si>
    <t>Первичный источник задач: лист 03_Оценка задач.</t>
  </si>
  <si>
    <t>Стартовое состояние</t>
  </si>
  <si>
    <t>При первичной сборке все задачи попадают в бэклог.</t>
  </si>
  <si>
    <t>Переходы</t>
  </si>
  <si>
    <t>Бэклог -&gt; План; План -&gt; Серая зона; План -&gt; Бэклог; Серая зона -&gt; Бэклог.</t>
  </si>
  <si>
    <t>Трудозатраты показывают нормализованные человеко-дни: DE = CEILING(DE / фокус-фактор дизайнеров, 1), остальные этапы = CEILING(оценка / фокус-фактор основной команды, 1).</t>
  </si>
  <si>
    <t>Календарная длительность</t>
  </si>
  <si>
    <t>Календарные длительности рассчитываются по дням доступности сотрудников и могут быть больше трудозатрат из-за аллокации и отпусков.</t>
  </si>
  <si>
    <t>Пустые оценки</t>
  </si>
  <si>
    <t>Пустые DE/AN/BE/FE/QA считаются нулем.</t>
  </si>
  <si>
    <t>Фокус-фактор DE</t>
  </si>
  <si>
    <t>Для DE используется отдельный фокус-фактор дизайнеров с листа 02_Capacity; он применяется и к трудозатратам, и к дневному прогрессу.</t>
  </si>
  <si>
    <t>Ресурсы AN</t>
  </si>
  <si>
    <t>AN выполняют аналитики и лид по аналитике.</t>
  </si>
  <si>
    <t>Ресурсы DE</t>
  </si>
  <si>
    <t>DE выполняют сотрудники с ролью Дизайнер.</t>
  </si>
  <si>
    <t>Ресурсы BE</t>
  </si>
  <si>
    <t>BE выполняют BE-разработчики и тим-лид / техлид.</t>
  </si>
  <si>
    <t>Ресурсы FE/QA</t>
  </si>
  <si>
    <t>FE выполняют FE-разработчики; QA выполняют тестировщики.</t>
  </si>
  <si>
    <t>Порядок расчета</t>
  </si>
  <si>
    <t>Задачи в квартальном плане рассчитываются сверху вниз по строкам секции.</t>
  </si>
  <si>
    <t>Greedy ресурсов</t>
  </si>
  <si>
    <t>В каждый рабочий день для этапа выбирается доступный сотрудник нужной роли с максимальной аллокацией; при равной аллокации выбирается первый сверху в tblTeamMembers.</t>
  </si>
  <si>
    <t>Аллокации и отпуска</t>
  </si>
  <si>
    <t>Дневной прогресс равен аллокации выбранного сотрудника, умноженной на фокус-фактор этапа. Сотрудник недоступен во все даты своего отпуска; при наличии другого доступного сотрудника работа продолжается им.</t>
  </si>
  <si>
    <t>Даты готовности</t>
  </si>
  <si>
    <t>Даты считаются только для секции Квартальный план; для серой зоны и бэклога очищаются.</t>
  </si>
  <si>
    <t>DE параллельно AN</t>
  </si>
  <si>
    <t>DE стартует одновременно с AN, а при пустом AN — с первой доступной даты задачи. DE резервирует дизайнеров между задачами, но не задает старт BE/FE/QA и не влияет на Завершение (план).</t>
  </si>
  <si>
    <t>AN/BE overlap</t>
  </si>
  <si>
    <t>Если AN больше настроенного лага, BE может стартовать после заданного числа рабочих дней AN и после выполнения заданной доли AN; если AN завершилась раньше, BE стартует после AN.</t>
  </si>
  <si>
    <t>FE overlap</t>
  </si>
  <si>
    <t>Если BE больше 5 ч/д, FE может стартовать после 5 рабочих дней BE и после выполнения 50% BE; если BE завершился раньше, FE стартует после BE.</t>
  </si>
  <si>
    <t>QA overlap</t>
  </si>
  <si>
    <t>Половина QA может стартовать после завершения аналитики; вторая половина QA стартует после завершения BE и FE.</t>
  </si>
  <si>
    <t>Код</t>
  </si>
  <si>
    <t>Ед.</t>
  </si>
  <si>
    <t>AN_BE_MIN_WORKDAYS</t>
  </si>
  <si>
    <t>AN -&gt; BE: минимальный лаг</t>
  </si>
  <si>
    <t>раб. дни</t>
  </si>
  <si>
    <t>Минимум рабочих дней от старта AN до возможного старта BE для длинной аналитики.</t>
  </si>
  <si>
    <t>AN_BE_COMPLETION_PERCENT</t>
  </si>
  <si>
    <t>AN -&gt; BE: готовность AN</t>
  </si>
  <si>
    <t>%</t>
  </si>
  <si>
    <t>Доля расчетной длительности AN, после которой BE может стартовать для длинной аналитики.</t>
  </si>
  <si>
    <t>BE_FE_MIN_WORKDAYS</t>
  </si>
  <si>
    <t>BE -&gt; FE: минимальный лаг</t>
  </si>
  <si>
    <t>Минимум рабочих дней от старта BE до возможного старта FE для длинной backend-разработки.</t>
  </si>
  <si>
    <t>BE_FE_COMPLETION_PERCENT</t>
  </si>
  <si>
    <t>BE -&gt; FE: готовность BE</t>
  </si>
  <si>
    <t>Доля расчетной длительности BE, после которой FE может стартовать для длинной backend-разработки.</t>
  </si>
  <si>
    <t>QA_FIRST_PART_PERCENT</t>
  </si>
  <si>
    <t>QA: первая часть</t>
  </si>
  <si>
    <t>Доля QA, которая может выполняться после завершения аналитики.</t>
  </si>
  <si>
    <t>RESOURCE_BALANCE_RISK_PERCENT</t>
  </si>
  <si>
    <t>Баланс ресурсов: риск</t>
  </si>
  <si>
    <t>Риск, добавляемый к оценкам активного плана при расчете баланса ресурсов.</t>
  </si>
  <si>
    <t>Форма оценки трудозатрат</t>
  </si>
  <si>
    <t>Легенда</t>
  </si>
  <si>
    <t>Номер задачи в Jira</t>
  </si>
  <si>
    <t>Наличие БТ/Концепции</t>
  </si>
  <si>
    <t>Отсутствует или в наличии краткая Постановка задачи</t>
  </si>
  <si>
    <t>Название задачи в Jira</t>
  </si>
  <si>
    <t>Ответственность</t>
  </si>
  <si>
    <t>Эксперт, подготовивший оценку трудозатрат, несёт за неё персональную ответственность за результат. Требуется учитывать, что любую предоставленную оценку необходимо уметь защитить.</t>
  </si>
  <si>
    <t>Документы, на основании которых произведена оценка</t>
  </si>
  <si>
    <t>Декомпозиция</t>
  </si>
  <si>
    <t>Достаточный уровень декомпозиции - верхнеуровневое деление на функции</t>
  </si>
  <si>
    <t>Версия оценки</t>
  </si>
  <si>
    <t>Подход к оценке</t>
  </si>
  <si>
    <t xml:space="preserve">Существует три вида оценки – оптимистичная, реалистичная, пессимистичная. Для  оценки используем реалистичный вид. </t>
  </si>
  <si>
    <t>Дата оценки</t>
  </si>
  <si>
    <t>Консультации</t>
  </si>
  <si>
    <t xml:space="preserve"> В случае, если по оцениваемой задаче не было схожего опыта реализации, то необходимо обращаться к руководителям направлений и другим более опытным коллегам за консультацией по оценке.</t>
  </si>
  <si>
    <t>ФИО архитектора, участвовавшего в разработке решения</t>
  </si>
  <si>
    <t>ФИО ИТ-лидера</t>
  </si>
  <si>
    <t>ФИО аналитика, выполнившего оценку</t>
  </si>
  <si>
    <t>ФИО Back-разработчика, выполнившего оценку</t>
  </si>
  <si>
    <t>ФИО Front-разработчика, выполнившего оценку</t>
  </si>
  <si>
    <t>ФИО QA, выполнившего оценку</t>
  </si>
  <si>
    <t>ФИО дизайнера, выполнившего оценку</t>
  </si>
  <si>
    <t>Epic/ Story Group/ Story/Разрабатываемые в истории требования</t>
  </si>
  <si>
    <t>Задача в Jira</t>
  </si>
  <si>
    <t>Человеко-часы</t>
  </si>
  <si>
    <t>Человеко-дни(автоматический расчёт)</t>
  </si>
  <si>
    <t>Design</t>
  </si>
  <si>
    <t>Комментарии</t>
  </si>
  <si>
    <t>РП (человеко-часы)</t>
  </si>
  <si>
    <t>Архитектор</t>
  </si>
  <si>
    <t>DevOPS + OPS</t>
  </si>
  <si>
    <t>РП</t>
  </si>
  <si>
    <t>[0] YYY</t>
  </si>
  <si>
    <t>5</t>
  </si>
  <si>
    <t>[1] YYY</t>
  </si>
  <si>
    <t>Архитекто (чч)</t>
  </si>
  <si>
    <t>[2] Разработка и согласование в АСДД схемы сквозного бизнес-процесса</t>
  </si>
  <si>
    <t>25</t>
  </si>
  <si>
    <t>[2] ЖЦ заявки</t>
  </si>
  <si>
    <t>Списки</t>
  </si>
  <si>
    <t>Артефакты</t>
  </si>
  <si>
    <t>Смежники</t>
  </si>
  <si>
    <t>Статусы</t>
  </si>
  <si>
    <t>Да/Нет</t>
  </si>
  <si>
    <t>БТ</t>
  </si>
  <si>
    <t>Echo</t>
  </si>
  <si>
    <t>Готова аналитика</t>
  </si>
  <si>
    <t>Да</t>
  </si>
  <si>
    <t>Макеты</t>
  </si>
  <si>
    <t>Sierra</t>
  </si>
  <si>
    <t>Готова разработка</t>
  </si>
  <si>
    <t>Нет</t>
  </si>
  <si>
    <t>ОТАР</t>
  </si>
  <si>
    <t>Bravo</t>
  </si>
  <si>
    <t>Готова разработка (бэк)</t>
  </si>
  <si>
    <t>ПСИ ИБ</t>
  </si>
  <si>
    <t>Foxtrot</t>
  </si>
  <si>
    <t>Готова разработка (фронт)</t>
  </si>
  <si>
    <t>Uniform</t>
  </si>
  <si>
    <t>Готово к релизу</t>
  </si>
  <si>
    <t>India</t>
  </si>
  <si>
    <t>ПРОМ</t>
  </si>
  <si>
    <t>Ф1</t>
  </si>
  <si>
    <t>Отложено</t>
  </si>
  <si>
    <t>ЕСК</t>
  </si>
  <si>
    <t>Тесса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</si>
</sst>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-yyyy"/>
    <numFmt numFmtId="165" formatCode="0.0"/>
  </numFmts>
  <fonts count="9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1F1F1F"/>
      <sz val="11"/>
      <name val="Calibri"/>
    </font>
    <font>
      <color rgb="FF1F1F1F"/>
      <sz val="11"/>
      <name val="Calibri"/>
    </font>
    <font>
      <b/>
      <color rgb="FF9C0006"/>
      <sz val="11"/>
      <name val="Calibri"/>
    </font>
    <font>
      <b/>
      <color rgb="FF808080"/>
      <sz val="11"/>
      <name val="Calibri"/>
    </font>
    <font>
      <color rgb="FF808080"/>
      <sz val="11"/>
      <name val="Calibri"/>
    </font>
    <font>
      <b/>
      <color rgb="FF1F4E79"/>
      <sz val="11"/>
      <name val="Calibri"/>
    </font>
    <font>
      <charset val="204"/>
      <color theme="1"/>
      <family val="2"/>
      <scheme val="minor"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9DC3E6"/>
      </patternFill>
    </fill>
    <fill>
      <patternFill patternType="solid">
        <fgColor rgb="FFE2F0D9"/>
      </patternFill>
    </fill>
    <fill>
      <patternFill patternType="solid">
        <fgColor rgb="FFFFFFFF"/>
      </patternFill>
    </fill>
    <fill>
      <patternFill patternType="solid">
        <fgColor rgb="FFF3F3F3"/>
      </patternFill>
    </fill>
    <fill>
      <patternFill patternType="solid">
        <fgColor rgb="FF92D050"/>
      </patternFill>
    </fill>
    <fill>
      <patternFill patternType="solid">
        <fgColor rgb="FFA6A6A6"/>
      </patternFill>
    </fill>
    <fill>
      <patternFill patternType="solid">
        <fgColor theme="9" tint="0.7999816888943144"/>
        <bgColor theme="9" tint="0.7999816888943144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9" tint="0.3999755851924192"/>
      </left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theme="9" tint="0.3999755851924192"/>
      </bottom>
      <diagonal/>
    </border>
    <border>
      <left style="thin">
        <color theme="9" tint="0.3999755851924192"/>
      </left>
      <right/>
      <top style="thin">
        <color theme="9" tint="0.3999755851924192"/>
      </top>
      <bottom/>
      <diagonal/>
    </border>
    <border>
      <left/>
      <right/>
      <top style="thin">
        <color theme="9" tint="0.3999755851924192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wrapText="1"/>
    </xf>
    <xf numFmtId="1" fontId="3" fillId="4" borderId="1" xfId="0" applyNumberFormat="1" applyFont="1" applyFill="1" applyBorder="1" applyAlignment="1">
      <alignment wrapText="1"/>
    </xf>
    <xf numFmtId="0" fontId="2" fillId="5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0" fontId="3" fillId="6" borderId="1" xfId="0" applyFont="1" applyFill="1" applyBorder="1" applyAlignment="1">
      <alignment wrapText="1"/>
    </xf>
    <xf numFmtId="9" fontId="3" fillId="4" borderId="1" xfId="0" applyNumberFormat="1" applyFont="1" applyFill="1" applyBorder="1" applyAlignment="1">
      <alignment wrapText="1"/>
    </xf>
    <xf numFmtId="164" fontId="3" fillId="4" borderId="1" xfId="0" applyNumberFormat="1" applyFont="1" applyFill="1" applyBorder="1" applyAlignment="1">
      <alignment wrapText="1"/>
    </xf>
    <xf numFmtId="1" fontId="3" fillId="6" borderId="1" xfId="0" applyNumberFormat="1" applyFont="1" applyFill="1" applyBorder="1" applyAlignment="1">
      <alignment wrapText="1"/>
    </xf>
    <xf numFmtId="164" fontId="3" fillId="6" borderId="1" xfId="0" applyNumberFormat="1" applyFont="1" applyFill="1" applyBorder="1" applyAlignment="1">
      <alignment wrapText="1"/>
    </xf>
    <xf numFmtId="0" fontId="1" fillId="2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left" wrapText="1"/>
    </xf>
    <xf numFmtId="0" fontId="3" fillId="7" borderId="2" xfId="0" applyFont="1" applyFill="1" applyBorder="1" applyAlignment="1">
      <alignment horizontal="center" wrapText="1"/>
    </xf>
    <xf numFmtId="0" fontId="5" fillId="8" borderId="3" xfId="0" applyFont="1" applyFill="1" applyBorder="1" applyAlignment="1">
      <alignment horizontal="center" wrapText="1"/>
    </xf>
    <xf numFmtId="0" fontId="3" fillId="7" borderId="2" xfId="0" applyFont="1" applyFill="1" applyBorder="1" applyAlignment="1">
      <alignment horizontal="left" wrapText="1"/>
    </xf>
    <xf numFmtId="2" fontId="3" fillId="7" borderId="2" xfId="0" applyNumberFormat="1" applyFont="1" applyFill="1" applyBorder="1" applyAlignment="1">
      <alignment horizontal="right" wrapText="1"/>
    </xf>
    <xf numFmtId="2" fontId="6" fillId="8" borderId="3" xfId="0" applyNumberFormat="1" applyFont="1" applyFill="1" applyBorder="1" applyAlignment="1">
      <alignment horizontal="right" wrapText="1"/>
    </xf>
    <xf numFmtId="0" fontId="3" fillId="9" borderId="2" xfId="0" applyFont="1" applyFill="1" applyBorder="1" applyAlignment="1">
      <alignment horizontal="left" wrapText="1"/>
    </xf>
    <xf numFmtId="9" fontId="3" fillId="9" borderId="2" xfId="0" applyNumberFormat="1" applyFont="1" applyFill="1" applyBorder="1" applyAlignment="1">
      <alignment horizontal="left" wrapText="1"/>
    </xf>
    <xf numFmtId="9" fontId="3" fillId="7" borderId="2" xfId="0" applyNumberFormat="1" applyFont="1" applyFill="1" applyBorder="1" applyAlignment="1">
      <alignment horizontal="left" wrapText="1"/>
    </xf>
    <xf numFmtId="0" fontId="3" fillId="8" borderId="2" xfId="0" applyFont="1" applyFill="1" applyBorder="1" applyAlignment="1">
      <alignment horizontal="left" wrapText="1"/>
    </xf>
    <xf numFmtId="2" fontId="3" fillId="8" borderId="2" xfId="0" applyNumberFormat="1" applyFont="1" applyFill="1" applyBorder="1" applyAlignment="1">
      <alignment horizontal="right" wrapText="1"/>
    </xf>
    <xf numFmtId="9" fontId="3" fillId="8" borderId="2" xfId="0" applyNumberFormat="1" applyFont="1" applyFill="1" applyBorder="1" applyAlignment="1">
      <alignment horizontal="right" wrapText="1"/>
    </xf>
    <xf numFmtId="0" fontId="2" fillId="3" borderId="2" xfId="0" applyFont="1" applyFill="1" applyBorder="1" applyAlignment="1">
      <alignment horizontal="center" wrapText="1"/>
    </xf>
    <xf numFmtId="2" fontId="3" fillId="6" borderId="2" xfId="0" applyNumberFormat="1" applyFont="1" applyFill="1" applyBorder="1" applyAlignment="1">
      <alignment horizontal="right" wrapText="1"/>
    </xf>
    <xf numFmtId="2" fontId="0" fillId="0" borderId="0" xfId="0" applyNumberFormat="1"/>
    <xf numFmtId="0" fontId="7" fillId="3" borderId="1" xfId="0" applyFont="1" applyFill="1" applyBorder="1" applyAlignment="1">
      <alignment horizontal="center" wrapText="1"/>
    </xf>
    <xf numFmtId="2" fontId="3" fillId="6" borderId="1" xfId="0" applyNumberFormat="1" applyFont="1" applyFill="1" applyBorder="1" applyAlignment="1">
      <alignment wrapText="1"/>
    </xf>
    <xf numFmtId="2" fontId="3" fillId="4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horizontal="center"/>
    </xf>
    <xf numFmtId="165" fontId="2" fillId="6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 wrapText="1"/>
    </xf>
    <xf numFmtId="0" fontId="7" fillId="3" borderId="1" xfId="0" applyFont="1" applyFill="1" applyBorder="1" applyAlignment="1">
      <alignment horizontal="center"/>
    </xf>
    <xf numFmtId="1" fontId="3" fillId="4" borderId="1" xfId="0" applyNumberFormat="1" applyFont="1" applyFill="1" applyBorder="1" applyAlignment="1"/>
    <xf numFmtId="0" fontId="3" fillId="4" borderId="1" xfId="0" applyFont="1" applyFill="1" applyBorder="1" applyAlignment="1"/>
    <xf numFmtId="2" fontId="3" fillId="4" borderId="1" xfId="0" applyNumberFormat="1" applyFont="1" applyFill="1" applyBorder="1" applyAlignment="1"/>
    <xf numFmtId="2" fontId="3" fillId="6" borderId="1" xfId="0" applyNumberFormat="1" applyFont="1" applyFill="1" applyBorder="1" applyAlignment="1"/>
    <xf numFmtId="164" fontId="3" fillId="6" borderId="1" xfId="0" applyNumberFormat="1" applyFont="1" applyFill="1" applyBorder="1" applyAlignment="1"/>
    <xf numFmtId="0" fontId="1" fillId="10" borderId="0" xfId="0" applyFont="1" applyFill="1" applyAlignment="1">
      <alignment horizontal="center"/>
    </xf>
    <xf numFmtId="1" fontId="3" fillId="0" borderId="1" xfId="0" applyNumberFormat="1" applyFont="1" applyBorder="1" applyAlignment="1">
      <alignment vertical="top" wrapText="1"/>
    </xf>
    <xf numFmtId="9" fontId="3" fillId="0" borderId="1" xfId="0" applyNumberFormat="1" applyFont="1" applyBorder="1" applyAlignment="1">
      <alignment vertical="top" wrapText="1"/>
    </xf>
    <xf numFmtId="0" fontId="8" fillId="11" borderId="4" xfId="0" applyFont="1" applyFill="1" applyBorder="1" applyAlignment="1">
      <alignment horizontal="center"/>
    </xf>
    <xf numFmtId="0" fontId="8" fillId="11" borderId="5" xfId="0" applyFont="1" applyFill="1" applyBorder="1"/>
    <xf numFmtId="0" fontId="8" fillId="11" borderId="6" xfId="0" applyFont="1" applyFill="1" applyBorder="1"/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6" xfId="0" applyFont="1" applyBorder="1" applyAlignment="1">
      <alignment horizontal="center"/>
    </xf>
    <xf numFmtId="0" fontId="8" fillId="0" borderId="6" xfId="0" applyFont="1" applyBorder="1" applyAlignment="1">
      <alignment horizontal="left"/>
    </xf>
    <xf numFmtId="0" fontId="8" fillId="11" borderId="4" xfId="0" applyFont="1" applyFill="1" applyBorder="1"/>
    <xf numFmtId="0" fontId="8" fillId="11" borderId="6" xfId="0" applyFont="1" applyFill="1" applyBorder="1" applyAlignment="1">
      <alignment horizontal="center"/>
    </xf>
    <xf numFmtId="0" fontId="8" fillId="11" borderId="6" xfId="0" applyFont="1" applyFill="1" applyBorder="1" applyAlignment="1">
      <alignment horizontal="left"/>
    </xf>
    <xf numFmtId="0" fontId="8" fillId="11" borderId="7" xfId="0" applyFont="1" applyFill="1" applyBorder="1"/>
    <xf numFmtId="0" fontId="8" fillId="0" borderId="8" xfId="0" applyFont="1" applyBorder="1"/>
    <xf numFmtId="0" fontId="8" fillId="0" borderId="9" xfId="0" applyFont="1" applyBorder="1"/>
    <xf numFmtId="0" fontId="8" fillId="11" borderId="9" xfId="0" applyFont="1" applyFill="1" applyBorder="1"/>
    <xf numFmtId="0" fontId="8" fillId="11" borderId="10" xfId="0" applyFont="1" applyFill="1" applyBorder="1"/>
    <xf numFmtId="0" fontId="8" fillId="0" borderId="10" xfId="0" applyFont="1" applyBorder="1"/>
    <xf numFmtId="0" fontId="8" fillId="0" borderId="7" xfId="0" applyFont="1" applyBorder="1"/>
  </cellXfs>
  <cellStyles count="1">
    <cellStyle name="Normal" xfId="0" builtinId="0"/>
  </cellStyles>
  <dxfs count="18">
    <dxf>
      <font>
        <color rgb="FF808080"/>
        <strike/>
      </font>
      <fill>
        <patternFill patternType="solid">
          <fgColor rgb="FFD9D9D9"/>
        </patternFill>
      </fill>
    </dxf>
    <dxf>
      <font>
        <color rgb="FF808080"/>
        <strike/>
      </font>
      <fill>
        <patternFill patternType="solid">
          <fgColor rgb="FFD9D9D9"/>
        </patternFill>
      </fill>
    </dxf>
    <dxf>
      <font>
        <color rgb="FF808080"/>
        <strike/>
      </font>
      <fill>
        <patternFill patternType="solid">
          <fgColor rgb="FFD9D9D9"/>
        </patternFill>
      </fill>
    </dxf>
    <dxf>
      <font>
        <color rgb="FF808080"/>
        <strike/>
      </font>
      <fill>
        <patternFill patternType="solid">
          <fgColor rgb="FFD9D9D9"/>
        </patternFill>
      </fill>
    </dxf>
    <dxf>
      <font>
        <color rgb="FF808080"/>
        <strike/>
      </font>
      <fill>
        <patternFill patternType="solid">
          <fgColor rgb="FFD9D9D9"/>
        </patternFill>
      </fill>
    </dxf>
    <dxf>
      <font>
        <color rgb="FF808080"/>
        <strike/>
      </font>
      <fill>
        <patternFill patternType="solid">
          <fgColor rgb="FFD9D9D9"/>
        </patternFill>
      </fill>
    </dxf>
    <dxf>
      <font>
        <color rgb="FF808080"/>
        <strike/>
      </font>
      <fill>
        <patternFill patternType="solid">
          <fgColor rgb="FFD9D9D9"/>
        </patternFill>
      </fill>
    </dxf>
    <dxf>
      <font>
        <color rgb="FF808080"/>
        <strike/>
      </font>
      <fill>
        <patternFill patternType="solid">
          <fgColor rgb="FFD9D9D9"/>
        </patternFill>
      </fill>
    </dxf>
    <dxf>
      <font>
        <color rgb="FF808080"/>
        <strike/>
      </font>
      <fill>
        <patternFill patternType="solid">
          <fgColor rgb="FFD9D9D9"/>
        </patternFill>
      </fill>
    </dxf>
    <dxf>
      <font>
        <color rgb="FF808080"/>
        <strike/>
      </font>
      <fill>
        <patternFill patternType="solid">
          <fgColor rgb="FFD9D9D9"/>
        </patternFill>
      </fill>
    </dxf>
    <dxf>
      <font>
        <color rgb="FF808080"/>
        <strike/>
      </font>
      <fill>
        <patternFill patternType="solid">
          <fgColor rgb="FFD9D9D9"/>
        </patternFill>
      </fill>
    </dxf>
    <dxf>
      <font>
        <color rgb="FF808080"/>
        <strike/>
      </font>
      <fill>
        <patternFill patternType="solid">
          <fgColor rgb="FFD9D9D9"/>
        </patternFill>
      </fill>
    </dxf>
    <dxf>
      <font>
        <color rgb="FF808080"/>
        <strike/>
      </font>
      <fill>
        <patternFill patternType="solid">
          <fgColor rgb="FFD9D9D9"/>
        </patternFill>
      </fill>
    </dxf>
    <dxf>
      <font>
        <color rgb="FF808080"/>
        <strike/>
      </font>
      <fill>
        <patternFill patternType="solid">
          <fgColor rgb="FFD9D9D9"/>
        </patternFill>
      </fill>
    </dxf>
    <dxf>
      <font>
        <color rgb="FF808080"/>
        <strike/>
      </font>
      <fill>
        <patternFill patternType="solid">
          <fgColor rgb="FFD9D9D9"/>
        </patternFill>
      </fill>
    </dxf>
    <dxf>
      <font>
        <color rgb="FF808080"/>
        <strike/>
      </font>
      <fill>
        <patternFill patternType="solid">
          <fgColor rgb="FFD9D9D9"/>
        </patternFill>
      </fill>
    </dxf>
    <dxf>
      <font>
        <color rgb="FF808080"/>
        <strike/>
      </font>
      <fill>
        <patternFill patternType="solid">
          <fgColor rgb="FFD9D9D9"/>
        </patternFill>
      </fill>
    </dxf>
    <dxf>
      <font>
        <color rgb="FF808080"/>
        <strike/>
      </font>
      <fill>
        <patternFill patternType="solid">
          <f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TeamComposition" displayName="tblTeamComposition" ref="A13:B20" totalsRowShown="0" headerRowCount="1">
  <autoFilter ref="A13:B20">
    <filterColumn colId="0" hiddenButton="1"/>
    <filterColumn colId="1" hiddenButton="1"/>
  </autoFilter>
  <tableColumns count="2">
    <tableColumn id="1" name="Роль"/>
    <tableColumn id="2" name="Количество людей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blTeamMembers" displayName="tblTeamMembers" ref="A23:L43" totalsRowShown="0" headerRowCount="1">
  <autoFilter ref="A23:L4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Роль"/>
    <tableColumn id="2" name="Сотрудник"/>
    <tableColumn id="3" name="Аллокация"/>
    <tableColumn id="4" name="Отпуск 1 с"/>
    <tableColumn id="5" name="Отпуск 1 по"/>
    <tableColumn id="6" name="Отпуск 1 дней"/>
    <tableColumn id="7" name="Отпуск 2 с"/>
    <tableColumn id="8" name="Отпуск 2 по"/>
    <tableColumn id="9" name="Отпуск 2 дней"/>
    <tableColumn id="10" name="Отпуск 3 с"/>
    <tableColumn id="11" name="Отпуск 3 по"/>
    <tableColumn id="12" name="Отпуск 3 дней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blHolidays" displayName="tblHolidays" ref="A13:D33" totalsRowShown="0" headerRowCount="1">
  <autoFilter ref="A13:D33">
    <filterColumn colId="0" hiddenButton="1"/>
    <filterColumn colId="1" hiddenButton="1"/>
    <filterColumn colId="2" hiddenButton="1"/>
    <filterColumn colId="3" hiddenButton="1"/>
  </autoFilter>
  <tableColumns count="4">
    <tableColumn id="1" name="Дата"/>
    <tableColumn id="2" name="Название"/>
    <tableColumn id="3" name="Комментарий"/>
    <tableColumn id="4" name="Учитывать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blTaskEstimates" displayName="tblTaskEstimates" ref="C3:M103" totalsRowShown="0" headerRowCount="1">
  <autoFilter ref="C3:M103"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Приоритет"/>
    <tableColumn id="2" name="Направление"/>
    <tableColumn id="3" name="Описание"/>
    <tableColumn id="4" name="ЗНИ/Jira"/>
    <tableColumn id="5" name="Примечание"/>
    <tableColumn id="6" name="DE"/>
    <tableColumn id="7" name="AN"/>
    <tableColumn id="8" name="BE"/>
    <tableColumn id="9" name="FE"/>
    <tableColumn id="10" name="QA"/>
    <tableColumn id="11" name="Комментарий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blPlanActive" displayName="tblPlanActive" ref="A5:T25" totalsRowShown="0" headerRowCount="1">
  <autoFilter ref="A5:T25">
    <filterColumn colId="0" hiddenButton="1"/>
    <filterColumn colId="1" hiddenButton="1"/>
    <filterColumn colId="2" hiddenButton="1"/>
    <filterColumn colId="3" hiddenButton="1"/>
    <filterColumn colId="4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name="+"/>
    <tableColumn id="2" name="\"/>
    <tableColumn id="3" name="-"/>
    <tableColumn id="4" name="↑"/>
    <tableColumn id="5" name="↓"/>
    <tableColumn id="6" name="Приоритет"/>
    <tableColumn id="7" name="Направление"/>
    <tableColumn id="8" name="Описание"/>
    <tableColumn id="9" name="ЗНИ/Jira"/>
    <tableColumn id="10" name="Примечание"/>
    <tableColumn id="11" name="DE"/>
    <tableColumn id="12" name="AN"/>
    <tableColumn id="13" name="BE"/>
    <tableColumn id="14" name="FE"/>
    <tableColumn id="15" name="QA"/>
    <tableColumn id="16" name="Трудозатраты"/>
    <tableColumn id="17" name="Завершение (план)"/>
    <tableColumn id="18" name="Релиз"/>
    <tableColumn id="19" name="Статус на конец квартала"/>
    <tableColumn id="20" name="Комментарий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blPlanGrey" displayName="tblPlanGrey" ref="A30:T50" totalsRowShown="0" headerRowCount="1">
  <autoFilter ref="A30:T50">
    <filterColumn colId="0" hiddenButton="1"/>
    <filterColumn colId="1" hiddenButton="1"/>
    <filterColumn colId="2" hiddenButton="1"/>
    <filterColumn colId="3" hiddenButton="1"/>
    <filterColumn colId="4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name="+"/>
    <tableColumn id="2" name="\"/>
    <tableColumn id="3" name="-"/>
    <tableColumn id="4" name="↑"/>
    <tableColumn id="5" name="↓"/>
    <tableColumn id="6" name="Приоритет"/>
    <tableColumn id="7" name="Направление"/>
    <tableColumn id="8" name="Описание"/>
    <tableColumn id="9" name="ЗНИ/Jira"/>
    <tableColumn id="10" name="Примечание"/>
    <tableColumn id="11" name="DE"/>
    <tableColumn id="12" name="AN"/>
    <tableColumn id="13" name="BE"/>
    <tableColumn id="14" name="FE"/>
    <tableColumn id="15" name="QA"/>
    <tableColumn id="16" name="Трудозатраты"/>
    <tableColumn id="17" name="Завершение (план)"/>
    <tableColumn id="18" name="Релиз"/>
    <tableColumn id="19" name="Статус на конец квартала"/>
    <tableColumn id="20" name="Комментарий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blPlanBacklog" displayName="tblPlanBacklog" ref="A55:T155" totalsRowShown="0" headerRowCount="1">
  <autoFilter ref="A55:T155">
    <filterColumn colId="0" hiddenButton="1"/>
    <filterColumn colId="1" hiddenButton="1"/>
    <filterColumn colId="2" hiddenButton="1"/>
    <filterColumn colId="3" hiddenButton="1"/>
    <filterColumn colId="4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name="+"/>
    <tableColumn id="2" name="\"/>
    <tableColumn id="3" name="-"/>
    <tableColumn id="4" name="↑"/>
    <tableColumn id="5" name="↓"/>
    <tableColumn id="6" name="Приоритет"/>
    <tableColumn id="7" name="Направление"/>
    <tableColumn id="8" name="Описание"/>
    <tableColumn id="9" name="ЗНИ/Jira"/>
    <tableColumn id="10" name="Примечание"/>
    <tableColumn id="11" name="DE"/>
    <tableColumn id="12" name="AN"/>
    <tableColumn id="13" name="BE"/>
    <tableColumn id="14" name="FE"/>
    <tableColumn id="15" name="QA"/>
    <tableColumn id="16" name="Трудозатраты"/>
    <tableColumn id="17" name="Завершение (план)"/>
    <tableColumn id="18" name="Релиз"/>
    <tableColumn id="19" name="Статус на конец квартала"/>
    <tableColumn id="20" name="Комментарий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blExpertise" displayName="tblExpertise" ref="A3:C8" totalsRowShown="1" headerRowCount="1">
  <autoFilter ref="A3:C8">
    <filterColumn colId="0" hiddenButton="1"/>
    <filterColumn colId="1" hiddenButton="1"/>
    <filterColumn colId="2" hiddenButton="1"/>
  </autoFilter>
  <tableColumns count="3">
    <tableColumn id="1" name="Экспертиза" totalsRowLabel="Total"/>
    <tableColumn id="2" name="Название" totalsRowFunction="none"/>
    <tableColumn id="3" name="Waterfall порядок" totalsRowFunction="none"/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blPlanningRuleSettings" displayName="tblPlanningRuleSettings" ref="A35:E41" totalsRowShown="1" headerRowCount="1">
  <autoFilter ref="A35:E41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Код" totalsRowLabel="Total"/>
    <tableColumn id="2" name="Правило" totalsRowFunction="none"/>
    <tableColumn id="3" name="Значение" totalsRowFunction="none"/>
    <tableColumn id="4" name="Ед." totalsRowFunction="none"/>
    <tableColumn id="5" name="Описание" totalsRowFunction="none"/>
  </tableColumns>
  <tableStyleInfo name="TableStyleMedium2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blTaskCommentArtifacts" displayName="tblTaskCommentArtifacts" ref="A3:A7" totalsRowShown="1" headerRowCount="1">
  <autoFilter ref="A3:A7">
    <filterColumn colId="0" hiddenButton="1"/>
  </autoFilter>
  <tableColumns count="1">
    <tableColumn id="1" name="Артефакты" totalsRowLabel="Total"/>
  </tableColumns>
  <tableStyleInfo name="TableStyleMedium2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tblTaskCommentAdjacentTeams" displayName="tblTaskCommentAdjacentTeams" ref="C3:C12" totalsRowShown="1" headerRowCount="1">
  <autoFilter ref="C3:C12">
    <filterColumn colId="0" hiddenButton="1"/>
  </autoFilter>
  <tableColumns count="1">
    <tableColumn id="1" name="Смежники" totalsRowLabel="Total"/>
  </tableColumns>
  <tableStyleInfo name="TableStyleMedium2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tblStatuses" displayName="tblStatuses" ref="E3:E10" totalsRowShown="1" headerRowCount="1">
  <autoFilter ref="E3:E10">
    <filterColumn colId="0" hiddenButton="1"/>
  </autoFilter>
  <tableColumns count="1">
    <tableColumn id="1" name="Статусы" totalsRowLabel="Total"/>
  </tableColumns>
  <tableStyleInfo name="TableStyleMedium2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tblYesNo" displayName="tblYesNo" ref="G3:G5" totalsRowShown="1" headerRowCount="1">
  <autoFilter ref="G3:G5">
    <filterColumn colId="0" hiddenButton="1"/>
  </autoFilter>
  <tableColumns count="1">
    <tableColumn id="1" name="Да/Нет" totalsRowLabel="Total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Relationship Id="rId2" Type="http://schemas.openxmlformats.org/officeDocument/2006/relationships/table" Target="../tables/table6.xml"/><Relationship Id="rId3" Type="http://schemas.openxmlformats.org/officeDocument/2006/relationships/table" Target="../tables/table7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Relationship Id="rId2" Type="http://schemas.openxmlformats.org/officeDocument/2006/relationships/table" Target="../tables/table9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Relationship Id="rId2" Type="http://schemas.openxmlformats.org/officeDocument/2006/relationships/table" Target="../tables/table11.xml"/><Relationship Id="rId3" Type="http://schemas.openxmlformats.org/officeDocument/2006/relationships/table" Target="../tables/table12.xml"/><Relationship Id="rId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32.142857142857146" customWidth="1"/>
    <col min="2" max="2" width="27.285714285714285" customWidth="1"/>
    <col min="3" max="3" width="17.857142857142858" customWidth="1"/>
    <col min="4" max="12" width="14.285714285714286" customWidth="1"/>
  </cols>
  <sheetData>
    <row r="1" spans="1:3" x14ac:dyDescent="0.25">
      <c r="A1" s="1" t="s">
        <v>0</v>
      </c>
      <c r="B1" s="1"/>
      <c r="C1" s="1"/>
    </row>
    <row r="3" spans="1:7" x14ac:dyDescent="0.25">
      <c r="A3" s="2" t="s">
        <v>1</v>
      </c>
      <c r="B3" s="2" t="s">
        <v>2</v>
      </c>
      <c r="C3" s="2" t="s">
        <v>3</v>
      </c>
      <c r="D3" s="2"/>
      <c r="E3" s="2"/>
      <c r="F3" s="2"/>
      <c r="G3" s="2"/>
    </row>
    <row r="4" spans="1:7" x14ac:dyDescent="0.25">
      <c r="A4" s="3" t="s">
        <v>4</v>
      </c>
      <c r="B4" s="4" t="s">
        <v>5</v>
      </c>
      <c r="C4" s="3" t="s">
        <v>6</v>
      </c>
      <c r="D4" s="3"/>
      <c r="E4" s="3"/>
      <c r="F4" s="3"/>
      <c r="G4" s="3"/>
    </row>
    <row r="5" spans="1:7" x14ac:dyDescent="0.25">
      <c r="A5" s="3" t="s">
        <v>7</v>
      </c>
      <c r="B5" s="4" t="s">
        <v>8</v>
      </c>
      <c r="C5" s="3" t="s">
        <v>9</v>
      </c>
      <c r="D5" s="3"/>
      <c r="E5" s="3"/>
      <c r="F5" s="3"/>
      <c r="G5" s="3"/>
    </row>
    <row r="6" spans="1:7" x14ac:dyDescent="0.25">
      <c r="A6" s="3" t="s">
        <v>10</v>
      </c>
      <c r="B6" s="5">
        <v>2026</v>
      </c>
      <c r="C6" s="3" t="s">
        <v>11</v>
      </c>
      <c r="D6" s="3"/>
      <c r="E6" s="3"/>
      <c r="F6" s="3"/>
      <c r="G6" s="3"/>
    </row>
    <row r="7" spans="1:7" x14ac:dyDescent="0.25">
      <c r="A7" s="3" t="s">
        <v>12</v>
      </c>
      <c r="B7" s="5">
        <v>2</v>
      </c>
      <c r="C7" s="3" t="s">
        <v>13</v>
      </c>
      <c r="D7" s="3"/>
      <c r="E7" s="3"/>
      <c r="F7" s="3"/>
      <c r="G7" s="3"/>
    </row>
    <row r="8" spans="1:7" x14ac:dyDescent="0.25">
      <c r="A8" s="3" t="s">
        <v>14</v>
      </c>
      <c r="B8" s="5">
        <v>8</v>
      </c>
      <c r="C8" s="3" t="s">
        <v>15</v>
      </c>
      <c r="D8" s="3"/>
      <c r="E8" s="3"/>
      <c r="F8" s="3"/>
      <c r="G8" s="3"/>
    </row>
    <row r="11" spans="1:13" x14ac:dyDescent="0.25">
      <c r="A11" s="6" t="s">
        <v>16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3" spans="1:13" x14ac:dyDescent="0.25">
      <c r="A13" s="2" t="s">
        <v>17</v>
      </c>
      <c r="B13" s="2" t="s">
        <v>18</v>
      </c>
      <c r="C13" s="2" t="s">
        <v>3</v>
      </c>
      <c r="D13" s="2"/>
      <c r="E13" s="2"/>
      <c r="F13" s="2"/>
      <c r="G13" s="2"/>
      <c r="H13" s="7">
        <f>IF(SUM(B14:B20)&gt;20,"Превышен лимит 20 сотрудников","")</f>
      </c>
      <c r="I13" s="7"/>
      <c r="J13" s="7"/>
      <c r="K13" s="7"/>
      <c r="L13" s="7"/>
      <c r="M13" s="7"/>
    </row>
    <row r="14" spans="1:13" x14ac:dyDescent="0.25">
      <c r="A14" s="3" t="s">
        <v>19</v>
      </c>
      <c r="B14" s="5">
        <v>1</v>
      </c>
      <c r="C14" s="4" t="s">
        <v>20</v>
      </c>
      <c r="D14" s="4"/>
      <c r="E14" s="4"/>
      <c r="F14" s="4"/>
      <c r="G14" s="4"/>
      <c r="H14" s="8"/>
      <c r="I14" s="8"/>
      <c r="J14" s="8"/>
      <c r="K14" s="8"/>
      <c r="L14" s="8"/>
      <c r="M14" s="8"/>
    </row>
    <row r="15" spans="1:13" x14ac:dyDescent="0.25">
      <c r="A15" s="3" t="s">
        <v>21</v>
      </c>
      <c r="B15" s="5">
        <v>1</v>
      </c>
      <c r="C15" s="4" t="s">
        <v>20</v>
      </c>
      <c r="D15" s="4"/>
      <c r="E15" s="4"/>
      <c r="F15" s="4"/>
      <c r="G15" s="4"/>
      <c r="H15" s="8"/>
      <c r="I15" s="8"/>
      <c r="J15" s="8"/>
      <c r="K15" s="8"/>
      <c r="L15" s="8"/>
      <c r="M15" s="8"/>
    </row>
    <row r="16" spans="1:13" x14ac:dyDescent="0.25">
      <c r="A16" s="3" t="s">
        <v>22</v>
      </c>
      <c r="B16" s="5">
        <v>2</v>
      </c>
      <c r="C16" s="4" t="s">
        <v>20</v>
      </c>
      <c r="D16" s="4"/>
      <c r="E16" s="4"/>
      <c r="F16" s="4"/>
      <c r="G16" s="4"/>
      <c r="H16" s="8"/>
      <c r="I16" s="8"/>
      <c r="J16" s="8"/>
      <c r="K16" s="8"/>
      <c r="L16" s="8"/>
      <c r="M16" s="8"/>
    </row>
    <row r="17" spans="1:13" x14ac:dyDescent="0.25">
      <c r="A17" s="3" t="s">
        <v>23</v>
      </c>
      <c r="B17" s="5">
        <v>2</v>
      </c>
      <c r="C17" s="4" t="s">
        <v>20</v>
      </c>
      <c r="D17" s="4"/>
      <c r="E17" s="4"/>
      <c r="F17" s="4"/>
      <c r="G17" s="4"/>
      <c r="H17" s="8"/>
      <c r="I17" s="8"/>
      <c r="J17" s="8"/>
      <c r="K17" s="8"/>
      <c r="L17" s="8"/>
      <c r="M17" s="8"/>
    </row>
    <row r="18" spans="1:13" x14ac:dyDescent="0.25">
      <c r="A18" s="3" t="s">
        <v>24</v>
      </c>
      <c r="B18" s="5">
        <v>2</v>
      </c>
      <c r="C18" s="4" t="s">
        <v>20</v>
      </c>
      <c r="D18" s="4"/>
      <c r="E18" s="4"/>
      <c r="F18" s="4"/>
      <c r="G18" s="4"/>
      <c r="H18" s="8"/>
      <c r="I18" s="8"/>
      <c r="J18" s="8"/>
      <c r="K18" s="8"/>
      <c r="L18" s="8"/>
      <c r="M18" s="8"/>
    </row>
    <row r="19" spans="1:13" x14ac:dyDescent="0.25">
      <c r="A19" s="3" t="s">
        <v>25</v>
      </c>
      <c r="B19" s="5">
        <v>3</v>
      </c>
      <c r="C19" s="4" t="s">
        <v>20</v>
      </c>
      <c r="D19" s="4"/>
      <c r="E19" s="4"/>
      <c r="F19" s="4"/>
      <c r="G19" s="4"/>
      <c r="H19" s="8"/>
      <c r="I19" s="8"/>
      <c r="J19" s="8"/>
      <c r="K19" s="8"/>
      <c r="L19" s="8"/>
      <c r="M19" s="8"/>
    </row>
    <row r="20" spans="1:13" x14ac:dyDescent="0.25">
      <c r="A20" s="3" t="s">
        <v>26</v>
      </c>
      <c r="B20" s="5">
        <v>1</v>
      </c>
      <c r="C20" s="4" t="s">
        <v>20</v>
      </c>
      <c r="D20" s="4"/>
      <c r="E20" s="4"/>
      <c r="F20" s="4"/>
      <c r="G20" s="4"/>
      <c r="H20" s="8"/>
      <c r="I20" s="8"/>
      <c r="J20" s="8"/>
      <c r="K20" s="8"/>
      <c r="L20" s="8"/>
      <c r="M20" s="8"/>
    </row>
    <row r="22" spans="1:13" x14ac:dyDescent="0.25">
      <c r="A22" s="6" t="s">
        <v>27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2" x14ac:dyDescent="0.25">
      <c r="A23" s="2" t="s">
        <v>17</v>
      </c>
      <c r="B23" s="2" t="s">
        <v>28</v>
      </c>
      <c r="C23" s="2" t="s">
        <v>29</v>
      </c>
      <c r="D23" s="2" t="s">
        <v>30</v>
      </c>
      <c r="E23" s="2" t="s">
        <v>31</v>
      </c>
      <c r="F23" s="2" t="s">
        <v>32</v>
      </c>
      <c r="G23" s="2" t="s">
        <v>33</v>
      </c>
      <c r="H23" s="2" t="s">
        <v>34</v>
      </c>
      <c r="I23" s="2" t="s">
        <v>35</v>
      </c>
      <c r="J23" s="2" t="s">
        <v>36</v>
      </c>
      <c r="K23" s="2" t="s">
        <v>37</v>
      </c>
      <c r="L23" s="2" t="s">
        <v>38</v>
      </c>
    </row>
    <row r="24" spans="1:12" x14ac:dyDescent="0.25">
      <c r="A24" s="9" t="s">
        <v>19</v>
      </c>
      <c r="B24" s="4" t="s">
        <v>39</v>
      </c>
      <c r="C24" s="10">
        <v>1</v>
      </c>
      <c r="D24" s="11" t="s">
        <v>20</v>
      </c>
      <c r="E24" s="11" t="s">
        <v>20</v>
      </c>
      <c r="F24" s="12">
        <f>IF(OR(D24="",E24=""),"",IFERROR(MAX(0,NETWORKDAYS(D24,E24)-SUMPRODUCT((tblHolidays[Учитывать]="Да")*(tblHolidays[Дата]&gt;=D24)*(tblHolidays[Дата]&lt;=E24)*(WEEKDAY(tblHolidays[Дата],2)&lt;=5))),""))</f>
      </c>
      <c r="G24" s="11" t="s">
        <v>20</v>
      </c>
      <c r="H24" s="11" t="s">
        <v>20</v>
      </c>
      <c r="I24" s="12">
        <f>IF(OR(G24="",H24=""),"",IFERROR(MAX(0,NETWORKDAYS(G24,H24)-SUMPRODUCT((tblHolidays[Учитывать]="Да")*(tblHolidays[Дата]&gt;=G24)*(tblHolidays[Дата]&lt;=H24)*(WEEKDAY(tblHolidays[Дата],2)&lt;=5))),""))</f>
      </c>
      <c r="J24" s="11" t="s">
        <v>20</v>
      </c>
      <c r="K24" s="11" t="s">
        <v>20</v>
      </c>
      <c r="L24" s="12">
        <f>IF(OR(J24="",K24=""),"",IFERROR(MAX(0,NETWORKDAYS(J24,K24)-SUMPRODUCT((tblHolidays[Учитывать]="Да")*(tblHolidays[Дата]&gt;=J24)*(tblHolidays[Дата]&lt;=K24)*(WEEKDAY(tblHolidays[Дата],2)&lt;=5))),""))</f>
      </c>
    </row>
    <row r="25" spans="1:12" x14ac:dyDescent="0.25">
      <c r="A25" s="9" t="s">
        <v>21</v>
      </c>
      <c r="B25" s="4" t="s">
        <v>40</v>
      </c>
      <c r="C25" s="10">
        <v>1</v>
      </c>
      <c r="D25" s="11" t="s">
        <v>20</v>
      </c>
      <c r="E25" s="11" t="s">
        <v>20</v>
      </c>
      <c r="F25" s="12">
        <f>IF(OR(D25="",E25=""),"",IFERROR(MAX(0,NETWORKDAYS(D25,E25)-SUMPRODUCT((tblHolidays[Учитывать]="Да")*(tblHolidays[Дата]&gt;=D25)*(tblHolidays[Дата]&lt;=E25)*(WEEKDAY(tblHolidays[Дата],2)&lt;=5))),""))</f>
      </c>
      <c r="G25" s="11" t="s">
        <v>20</v>
      </c>
      <c r="H25" s="11" t="s">
        <v>20</v>
      </c>
      <c r="I25" s="12">
        <f>IF(OR(G25="",H25=""),"",IFERROR(MAX(0,NETWORKDAYS(G25,H25)-SUMPRODUCT((tblHolidays[Учитывать]="Да")*(tblHolidays[Дата]&gt;=G25)*(tblHolidays[Дата]&lt;=H25)*(WEEKDAY(tblHolidays[Дата],2)&lt;=5))),""))</f>
      </c>
      <c r="J25" s="11" t="s">
        <v>20</v>
      </c>
      <c r="K25" s="11" t="s">
        <v>20</v>
      </c>
      <c r="L25" s="12">
        <f>IF(OR(J25="",K25=""),"",IFERROR(MAX(0,NETWORKDAYS(J25,K25)-SUMPRODUCT((tblHolidays[Учитывать]="Да")*(tblHolidays[Дата]&gt;=J25)*(tblHolidays[Дата]&lt;=K25)*(WEEKDAY(tblHolidays[Дата],2)&lt;=5))),""))</f>
      </c>
    </row>
    <row r="26" spans="1:12" x14ac:dyDescent="0.25">
      <c r="A26" s="9" t="s">
        <v>22</v>
      </c>
      <c r="B26" s="4" t="s">
        <v>41</v>
      </c>
      <c r="C26" s="10">
        <v>1</v>
      </c>
      <c r="D26" s="11" t="s">
        <v>20</v>
      </c>
      <c r="E26" s="11" t="s">
        <v>20</v>
      </c>
      <c r="F26" s="12">
        <f>IF(OR(D26="",E26=""),"",IFERROR(MAX(0,NETWORKDAYS(D26,E26)-SUMPRODUCT((tblHolidays[Учитывать]="Да")*(tblHolidays[Дата]&gt;=D26)*(tblHolidays[Дата]&lt;=E26)*(WEEKDAY(tblHolidays[Дата],2)&lt;=5))),""))</f>
      </c>
      <c r="G26" s="11" t="s">
        <v>20</v>
      </c>
      <c r="H26" s="11" t="s">
        <v>20</v>
      </c>
      <c r="I26" s="12">
        <f>IF(OR(G26="",H26=""),"",IFERROR(MAX(0,NETWORKDAYS(G26,H26)-SUMPRODUCT((tblHolidays[Учитывать]="Да")*(tblHolidays[Дата]&gt;=G26)*(tblHolidays[Дата]&lt;=H26)*(WEEKDAY(tblHolidays[Дата],2)&lt;=5))),""))</f>
      </c>
      <c r="J26" s="11" t="s">
        <v>20</v>
      </c>
      <c r="K26" s="11" t="s">
        <v>20</v>
      </c>
      <c r="L26" s="12">
        <f>IF(OR(J26="",K26=""),"",IFERROR(MAX(0,NETWORKDAYS(J26,K26)-SUMPRODUCT((tblHolidays[Учитывать]="Да")*(tblHolidays[Дата]&gt;=J26)*(tblHolidays[Дата]&lt;=K26)*(WEEKDAY(tblHolidays[Дата],2)&lt;=5))),""))</f>
      </c>
    </row>
    <row r="27" spans="1:12" x14ac:dyDescent="0.25">
      <c r="A27" s="9" t="s">
        <v>22</v>
      </c>
      <c r="B27" s="4" t="s">
        <v>42</v>
      </c>
      <c r="C27" s="10">
        <v>1</v>
      </c>
      <c r="D27" s="11" t="s">
        <v>20</v>
      </c>
      <c r="E27" s="11" t="s">
        <v>20</v>
      </c>
      <c r="F27" s="12">
        <f>IF(OR(D27="",E27=""),"",IFERROR(MAX(0,NETWORKDAYS(D27,E27)-SUMPRODUCT((tblHolidays[Учитывать]="Да")*(tblHolidays[Дата]&gt;=D27)*(tblHolidays[Дата]&lt;=E27)*(WEEKDAY(tblHolidays[Дата],2)&lt;=5))),""))</f>
      </c>
      <c r="G27" s="11" t="s">
        <v>20</v>
      </c>
      <c r="H27" s="11" t="s">
        <v>20</v>
      </c>
      <c r="I27" s="12">
        <f>IF(OR(G27="",H27=""),"",IFERROR(MAX(0,NETWORKDAYS(G27,H27)-SUMPRODUCT((tblHolidays[Учитывать]="Да")*(tblHolidays[Дата]&gt;=G27)*(tblHolidays[Дата]&lt;=H27)*(WEEKDAY(tblHolidays[Дата],2)&lt;=5))),""))</f>
      </c>
      <c r="J27" s="11" t="s">
        <v>20</v>
      </c>
      <c r="K27" s="11" t="s">
        <v>20</v>
      </c>
      <c r="L27" s="12">
        <f>IF(OR(J27="",K27=""),"",IFERROR(MAX(0,NETWORKDAYS(J27,K27)-SUMPRODUCT((tblHolidays[Учитывать]="Да")*(tblHolidays[Дата]&gt;=J27)*(tblHolidays[Дата]&lt;=K27)*(WEEKDAY(tblHolidays[Дата],2)&lt;=5))),""))</f>
      </c>
    </row>
    <row r="28" spans="1:12" x14ac:dyDescent="0.25">
      <c r="A28" s="9" t="s">
        <v>23</v>
      </c>
      <c r="B28" s="4" t="s">
        <v>43</v>
      </c>
      <c r="C28" s="10">
        <v>1</v>
      </c>
      <c r="D28" s="11" t="s">
        <v>20</v>
      </c>
      <c r="E28" s="11" t="s">
        <v>20</v>
      </c>
      <c r="F28" s="12">
        <f>IF(OR(D28="",E28=""),"",IFERROR(MAX(0,NETWORKDAYS(D28,E28)-SUMPRODUCT((tblHolidays[Учитывать]="Да")*(tblHolidays[Дата]&gt;=D28)*(tblHolidays[Дата]&lt;=E28)*(WEEKDAY(tblHolidays[Дата],2)&lt;=5))),""))</f>
      </c>
      <c r="G28" s="11" t="s">
        <v>20</v>
      </c>
      <c r="H28" s="11" t="s">
        <v>20</v>
      </c>
      <c r="I28" s="12">
        <f>IF(OR(G28="",H28=""),"",IFERROR(MAX(0,NETWORKDAYS(G28,H28)-SUMPRODUCT((tblHolidays[Учитывать]="Да")*(tblHolidays[Дата]&gt;=G28)*(tblHolidays[Дата]&lt;=H28)*(WEEKDAY(tblHolidays[Дата],2)&lt;=5))),""))</f>
      </c>
      <c r="J28" s="11" t="s">
        <v>20</v>
      </c>
      <c r="K28" s="11" t="s">
        <v>20</v>
      </c>
      <c r="L28" s="12">
        <f>IF(OR(J28="",K28=""),"",IFERROR(MAX(0,NETWORKDAYS(J28,K28)-SUMPRODUCT((tblHolidays[Учитывать]="Да")*(tblHolidays[Дата]&gt;=J28)*(tblHolidays[Дата]&lt;=K28)*(WEEKDAY(tblHolidays[Дата],2)&lt;=5))),""))</f>
      </c>
    </row>
    <row r="29" spans="1:12" x14ac:dyDescent="0.25">
      <c r="A29" s="9" t="s">
        <v>23</v>
      </c>
      <c r="B29" s="4" t="s">
        <v>44</v>
      </c>
      <c r="C29" s="10">
        <v>1</v>
      </c>
      <c r="D29" s="11" t="s">
        <v>20</v>
      </c>
      <c r="E29" s="11" t="s">
        <v>20</v>
      </c>
      <c r="F29" s="12">
        <f>IF(OR(D29="",E29=""),"",IFERROR(MAX(0,NETWORKDAYS(D29,E29)-SUMPRODUCT((tblHolidays[Учитывать]="Да")*(tblHolidays[Дата]&gt;=D29)*(tblHolidays[Дата]&lt;=E29)*(WEEKDAY(tblHolidays[Дата],2)&lt;=5))),""))</f>
      </c>
      <c r="G29" s="11" t="s">
        <v>20</v>
      </c>
      <c r="H29" s="11" t="s">
        <v>20</v>
      </c>
      <c r="I29" s="12">
        <f>IF(OR(G29="",H29=""),"",IFERROR(MAX(0,NETWORKDAYS(G29,H29)-SUMPRODUCT((tblHolidays[Учитывать]="Да")*(tblHolidays[Дата]&gt;=G29)*(tblHolidays[Дата]&lt;=H29)*(WEEKDAY(tblHolidays[Дата],2)&lt;=5))),""))</f>
      </c>
      <c r="J29" s="11" t="s">
        <v>20</v>
      </c>
      <c r="K29" s="11" t="s">
        <v>20</v>
      </c>
      <c r="L29" s="12">
        <f>IF(OR(J29="",K29=""),"",IFERROR(MAX(0,NETWORKDAYS(J29,K29)-SUMPRODUCT((tblHolidays[Учитывать]="Да")*(tblHolidays[Дата]&gt;=J29)*(tblHolidays[Дата]&lt;=K29)*(WEEKDAY(tblHolidays[Дата],2)&lt;=5))),""))</f>
      </c>
    </row>
    <row r="30" spans="1:12" x14ac:dyDescent="0.25">
      <c r="A30" s="9" t="s">
        <v>24</v>
      </c>
      <c r="B30" s="4" t="s">
        <v>45</v>
      </c>
      <c r="C30" s="10">
        <v>1</v>
      </c>
      <c r="D30" s="11" t="s">
        <v>20</v>
      </c>
      <c r="E30" s="11" t="s">
        <v>20</v>
      </c>
      <c r="F30" s="12">
        <f>IF(OR(D30="",E30=""),"",IFERROR(MAX(0,NETWORKDAYS(D30,E30)-SUMPRODUCT((tblHolidays[Учитывать]="Да")*(tblHolidays[Дата]&gt;=D30)*(tblHolidays[Дата]&lt;=E30)*(WEEKDAY(tblHolidays[Дата],2)&lt;=5))),""))</f>
      </c>
      <c r="G30" s="11" t="s">
        <v>20</v>
      </c>
      <c r="H30" s="11" t="s">
        <v>20</v>
      </c>
      <c r="I30" s="12">
        <f>IF(OR(G30="",H30=""),"",IFERROR(MAX(0,NETWORKDAYS(G30,H30)-SUMPRODUCT((tblHolidays[Учитывать]="Да")*(tblHolidays[Дата]&gt;=G30)*(tblHolidays[Дата]&lt;=H30)*(WEEKDAY(tblHolidays[Дата],2)&lt;=5))),""))</f>
      </c>
      <c r="J30" s="11" t="s">
        <v>20</v>
      </c>
      <c r="K30" s="11" t="s">
        <v>20</v>
      </c>
      <c r="L30" s="12">
        <f>IF(OR(J30="",K30=""),"",IFERROR(MAX(0,NETWORKDAYS(J30,K30)-SUMPRODUCT((tblHolidays[Учитывать]="Да")*(tblHolidays[Дата]&gt;=J30)*(tblHolidays[Дата]&lt;=K30)*(WEEKDAY(tblHolidays[Дата],2)&lt;=5))),""))</f>
      </c>
    </row>
    <row r="31" spans="1:12" x14ac:dyDescent="0.25">
      <c r="A31" s="9" t="s">
        <v>24</v>
      </c>
      <c r="B31" s="4" t="s">
        <v>46</v>
      </c>
      <c r="C31" s="10">
        <v>1</v>
      </c>
      <c r="D31" s="11" t="s">
        <v>20</v>
      </c>
      <c r="E31" s="11" t="s">
        <v>20</v>
      </c>
      <c r="F31" s="12">
        <f>IF(OR(D31="",E31=""),"",IFERROR(MAX(0,NETWORKDAYS(D31,E31)-SUMPRODUCT((tblHolidays[Учитывать]="Да")*(tblHolidays[Дата]&gt;=D31)*(tblHolidays[Дата]&lt;=E31)*(WEEKDAY(tblHolidays[Дата],2)&lt;=5))),""))</f>
      </c>
      <c r="G31" s="11" t="s">
        <v>20</v>
      </c>
      <c r="H31" s="11" t="s">
        <v>20</v>
      </c>
      <c r="I31" s="12">
        <f>IF(OR(G31="",H31=""),"",IFERROR(MAX(0,NETWORKDAYS(G31,H31)-SUMPRODUCT((tblHolidays[Учитывать]="Да")*(tblHolidays[Дата]&gt;=G31)*(tblHolidays[Дата]&lt;=H31)*(WEEKDAY(tblHolidays[Дата],2)&lt;=5))),""))</f>
      </c>
      <c r="J31" s="11" t="s">
        <v>20</v>
      </c>
      <c r="K31" s="11" t="s">
        <v>20</v>
      </c>
      <c r="L31" s="12">
        <f>IF(OR(J31="",K31=""),"",IFERROR(MAX(0,NETWORKDAYS(J31,K31)-SUMPRODUCT((tblHolidays[Учитывать]="Да")*(tblHolidays[Дата]&gt;=J31)*(tblHolidays[Дата]&lt;=K31)*(WEEKDAY(tblHolidays[Дата],2)&lt;=5))),""))</f>
      </c>
    </row>
    <row r="32" spans="1:12" x14ac:dyDescent="0.25">
      <c r="A32" s="9" t="s">
        <v>25</v>
      </c>
      <c r="B32" s="4" t="s">
        <v>47</v>
      </c>
      <c r="C32" s="10">
        <v>1</v>
      </c>
      <c r="D32" s="11" t="s">
        <v>20</v>
      </c>
      <c r="E32" s="11" t="s">
        <v>20</v>
      </c>
      <c r="F32" s="12">
        <f>IF(OR(D32="",E32=""),"",IFERROR(MAX(0,NETWORKDAYS(D32,E32)-SUMPRODUCT((tblHolidays[Учитывать]="Да")*(tblHolidays[Дата]&gt;=D32)*(tblHolidays[Дата]&lt;=E32)*(WEEKDAY(tblHolidays[Дата],2)&lt;=5))),""))</f>
      </c>
      <c r="G32" s="11" t="s">
        <v>20</v>
      </c>
      <c r="H32" s="11" t="s">
        <v>20</v>
      </c>
      <c r="I32" s="12">
        <f>IF(OR(G32="",H32=""),"",IFERROR(MAX(0,NETWORKDAYS(G32,H32)-SUMPRODUCT((tblHolidays[Учитывать]="Да")*(tblHolidays[Дата]&gt;=G32)*(tblHolidays[Дата]&lt;=H32)*(WEEKDAY(tblHolidays[Дата],2)&lt;=5))),""))</f>
      </c>
      <c r="J32" s="11" t="s">
        <v>20</v>
      </c>
      <c r="K32" s="11" t="s">
        <v>20</v>
      </c>
      <c r="L32" s="12">
        <f>IF(OR(J32="",K32=""),"",IFERROR(MAX(0,NETWORKDAYS(J32,K32)-SUMPRODUCT((tblHolidays[Учитывать]="Да")*(tblHolidays[Дата]&gt;=J32)*(tblHolidays[Дата]&lt;=K32)*(WEEKDAY(tblHolidays[Дата],2)&lt;=5))),""))</f>
      </c>
    </row>
    <row r="33" spans="1:12" x14ac:dyDescent="0.25">
      <c r="A33" s="9" t="s">
        <v>25</v>
      </c>
      <c r="B33" s="4" t="s">
        <v>48</v>
      </c>
      <c r="C33" s="10">
        <v>1</v>
      </c>
      <c r="D33" s="11" t="s">
        <v>20</v>
      </c>
      <c r="E33" s="11" t="s">
        <v>20</v>
      </c>
      <c r="F33" s="12">
        <f>IF(OR(D33="",E33=""),"",IFERROR(MAX(0,NETWORKDAYS(D33,E33)-SUMPRODUCT((tblHolidays[Учитывать]="Да")*(tblHolidays[Дата]&gt;=D33)*(tblHolidays[Дата]&lt;=E33)*(WEEKDAY(tblHolidays[Дата],2)&lt;=5))),""))</f>
      </c>
      <c r="G33" s="11" t="s">
        <v>20</v>
      </c>
      <c r="H33" s="11" t="s">
        <v>20</v>
      </c>
      <c r="I33" s="12">
        <f>IF(OR(G33="",H33=""),"",IFERROR(MAX(0,NETWORKDAYS(G33,H33)-SUMPRODUCT((tblHolidays[Учитывать]="Да")*(tblHolidays[Дата]&gt;=G33)*(tblHolidays[Дата]&lt;=H33)*(WEEKDAY(tblHolidays[Дата],2)&lt;=5))),""))</f>
      </c>
      <c r="J33" s="11" t="s">
        <v>20</v>
      </c>
      <c r="K33" s="11" t="s">
        <v>20</v>
      </c>
      <c r="L33" s="12">
        <f>IF(OR(J33="",K33=""),"",IFERROR(MAX(0,NETWORKDAYS(J33,K33)-SUMPRODUCT((tblHolidays[Учитывать]="Да")*(tblHolidays[Дата]&gt;=J33)*(tblHolidays[Дата]&lt;=K33)*(WEEKDAY(tblHolidays[Дата],2)&lt;=5))),""))</f>
      </c>
    </row>
    <row r="34" spans="1:12" x14ac:dyDescent="0.25">
      <c r="A34" s="9" t="s">
        <v>25</v>
      </c>
      <c r="B34" s="4" t="s">
        <v>49</v>
      </c>
      <c r="C34" s="10">
        <v>1</v>
      </c>
      <c r="D34" s="11" t="s">
        <v>20</v>
      </c>
      <c r="E34" s="11" t="s">
        <v>20</v>
      </c>
      <c r="F34" s="12">
        <f>IF(OR(D34="",E34=""),"",IFERROR(MAX(0,NETWORKDAYS(D34,E34)-SUMPRODUCT((tblHolidays[Учитывать]="Да")*(tblHolidays[Дата]&gt;=D34)*(tblHolidays[Дата]&lt;=E34)*(WEEKDAY(tblHolidays[Дата],2)&lt;=5))),""))</f>
      </c>
      <c r="G34" s="11" t="s">
        <v>20</v>
      </c>
      <c r="H34" s="11" t="s">
        <v>20</v>
      </c>
      <c r="I34" s="12">
        <f>IF(OR(G34="",H34=""),"",IFERROR(MAX(0,NETWORKDAYS(G34,H34)-SUMPRODUCT((tblHolidays[Учитывать]="Да")*(tblHolidays[Дата]&gt;=G34)*(tblHolidays[Дата]&lt;=H34)*(WEEKDAY(tblHolidays[Дата],2)&lt;=5))),""))</f>
      </c>
      <c r="J34" s="11" t="s">
        <v>20</v>
      </c>
      <c r="K34" s="11" t="s">
        <v>20</v>
      </c>
      <c r="L34" s="12">
        <f>IF(OR(J34="",K34=""),"",IFERROR(MAX(0,NETWORKDAYS(J34,K34)-SUMPRODUCT((tblHolidays[Учитывать]="Да")*(tblHolidays[Дата]&gt;=J34)*(tblHolidays[Дата]&lt;=K34)*(WEEKDAY(tblHolidays[Дата],2)&lt;=5))),""))</f>
      </c>
    </row>
    <row r="35" spans="1:12" x14ac:dyDescent="0.25">
      <c r="A35" s="9" t="s">
        <v>26</v>
      </c>
      <c r="B35" s="4" t="s">
        <v>50</v>
      </c>
      <c r="C35" s="10">
        <v>1</v>
      </c>
      <c r="D35" s="11" t="s">
        <v>20</v>
      </c>
      <c r="E35" s="11" t="s">
        <v>20</v>
      </c>
      <c r="F35" s="12">
        <f>IF(OR(D35="",E35=""),"",IFERROR(MAX(0,NETWORKDAYS(D35,E35)-SUMPRODUCT((tblHolidays[Учитывать]="Да")*(tblHolidays[Дата]&gt;=D35)*(tblHolidays[Дата]&lt;=E35)*(WEEKDAY(tblHolidays[Дата],2)&lt;=5))),""))</f>
      </c>
      <c r="G35" s="11" t="s">
        <v>20</v>
      </c>
      <c r="H35" s="11" t="s">
        <v>20</v>
      </c>
      <c r="I35" s="12">
        <f>IF(OR(G35="",H35=""),"",IFERROR(MAX(0,NETWORKDAYS(G35,H35)-SUMPRODUCT((tblHolidays[Учитывать]="Да")*(tblHolidays[Дата]&gt;=G35)*(tblHolidays[Дата]&lt;=H35)*(WEEKDAY(tblHolidays[Дата],2)&lt;=5))),""))</f>
      </c>
      <c r="J35" s="11" t="s">
        <v>20</v>
      </c>
      <c r="K35" s="11" t="s">
        <v>20</v>
      </c>
      <c r="L35" s="12">
        <f>IF(OR(J35="",K35=""),"",IFERROR(MAX(0,NETWORKDAYS(J35,K35)-SUMPRODUCT((tblHolidays[Учитывать]="Да")*(tblHolidays[Дата]&gt;=J35)*(tblHolidays[Дата]&lt;=K35)*(WEEKDAY(tblHolidays[Дата],2)&lt;=5))),""))</f>
      </c>
    </row>
    <row r="36" spans="1:12" x14ac:dyDescent="0.25">
      <c r="A36" s="9" t="s">
        <v>20</v>
      </c>
      <c r="B36" s="4" t="s">
        <v>20</v>
      </c>
      <c r="C36" s="10" t="s">
        <v>20</v>
      </c>
      <c r="D36" s="11" t="s">
        <v>20</v>
      </c>
      <c r="E36" s="11" t="s">
        <v>20</v>
      </c>
      <c r="F36" s="12">
        <f>IF(OR(D36="",E36=""),"",IFERROR(MAX(0,NETWORKDAYS(D36,E36)-SUMPRODUCT((tblHolidays[Учитывать]="Да")*(tblHolidays[Дата]&gt;=D36)*(tblHolidays[Дата]&lt;=E36)*(WEEKDAY(tblHolidays[Дата],2)&lt;=5))),""))</f>
      </c>
      <c r="G36" s="11" t="s">
        <v>20</v>
      </c>
      <c r="H36" s="11" t="s">
        <v>20</v>
      </c>
      <c r="I36" s="12">
        <f>IF(OR(G36="",H36=""),"",IFERROR(MAX(0,NETWORKDAYS(G36,H36)-SUMPRODUCT((tblHolidays[Учитывать]="Да")*(tblHolidays[Дата]&gt;=G36)*(tblHolidays[Дата]&lt;=H36)*(WEEKDAY(tblHolidays[Дата],2)&lt;=5))),""))</f>
      </c>
      <c r="J36" s="11" t="s">
        <v>20</v>
      </c>
      <c r="K36" s="11" t="s">
        <v>20</v>
      </c>
      <c r="L36" s="12">
        <f>IF(OR(J36="",K36=""),"",IFERROR(MAX(0,NETWORKDAYS(J36,K36)-SUMPRODUCT((tblHolidays[Учитывать]="Да")*(tblHolidays[Дата]&gt;=J36)*(tblHolidays[Дата]&lt;=K36)*(WEEKDAY(tblHolidays[Дата],2)&lt;=5))),""))</f>
      </c>
    </row>
    <row r="37" spans="1:12" x14ac:dyDescent="0.25">
      <c r="A37" s="9" t="s">
        <v>20</v>
      </c>
      <c r="B37" s="4" t="s">
        <v>20</v>
      </c>
      <c r="C37" s="10" t="s">
        <v>20</v>
      </c>
      <c r="D37" s="11" t="s">
        <v>20</v>
      </c>
      <c r="E37" s="11" t="s">
        <v>20</v>
      </c>
      <c r="F37" s="12">
        <f>IF(OR(D37="",E37=""),"",IFERROR(MAX(0,NETWORKDAYS(D37,E37)-SUMPRODUCT((tblHolidays[Учитывать]="Да")*(tblHolidays[Дата]&gt;=D37)*(tblHolidays[Дата]&lt;=E37)*(WEEKDAY(tblHolidays[Дата],2)&lt;=5))),""))</f>
      </c>
      <c r="G37" s="11" t="s">
        <v>20</v>
      </c>
      <c r="H37" s="11" t="s">
        <v>20</v>
      </c>
      <c r="I37" s="12">
        <f>IF(OR(G37="",H37=""),"",IFERROR(MAX(0,NETWORKDAYS(G37,H37)-SUMPRODUCT((tblHolidays[Учитывать]="Да")*(tblHolidays[Дата]&gt;=G37)*(tblHolidays[Дата]&lt;=H37)*(WEEKDAY(tblHolidays[Дата],2)&lt;=5))),""))</f>
      </c>
      <c r="J37" s="11" t="s">
        <v>20</v>
      </c>
      <c r="K37" s="11" t="s">
        <v>20</v>
      </c>
      <c r="L37" s="12">
        <f>IF(OR(J37="",K37=""),"",IFERROR(MAX(0,NETWORKDAYS(J37,K37)-SUMPRODUCT((tblHolidays[Учитывать]="Да")*(tblHolidays[Дата]&gt;=J37)*(tblHolidays[Дата]&lt;=K37)*(WEEKDAY(tblHolidays[Дата],2)&lt;=5))),""))</f>
      </c>
    </row>
    <row r="38" spans="1:12" x14ac:dyDescent="0.25">
      <c r="A38" s="9" t="s">
        <v>20</v>
      </c>
      <c r="B38" s="4" t="s">
        <v>20</v>
      </c>
      <c r="C38" s="10" t="s">
        <v>20</v>
      </c>
      <c r="D38" s="11" t="s">
        <v>20</v>
      </c>
      <c r="E38" s="11" t="s">
        <v>20</v>
      </c>
      <c r="F38" s="12">
        <f>IF(OR(D38="",E38=""),"",IFERROR(MAX(0,NETWORKDAYS(D38,E38)-SUMPRODUCT((tblHolidays[Учитывать]="Да")*(tblHolidays[Дата]&gt;=D38)*(tblHolidays[Дата]&lt;=E38)*(WEEKDAY(tblHolidays[Дата],2)&lt;=5))),""))</f>
      </c>
      <c r="G38" s="11" t="s">
        <v>20</v>
      </c>
      <c r="H38" s="11" t="s">
        <v>20</v>
      </c>
      <c r="I38" s="12">
        <f>IF(OR(G38="",H38=""),"",IFERROR(MAX(0,NETWORKDAYS(G38,H38)-SUMPRODUCT((tblHolidays[Учитывать]="Да")*(tblHolidays[Дата]&gt;=G38)*(tblHolidays[Дата]&lt;=H38)*(WEEKDAY(tblHolidays[Дата],2)&lt;=5))),""))</f>
      </c>
      <c r="J38" s="11" t="s">
        <v>20</v>
      </c>
      <c r="K38" s="11" t="s">
        <v>20</v>
      </c>
      <c r="L38" s="12">
        <f>IF(OR(J38="",K38=""),"",IFERROR(MAX(0,NETWORKDAYS(J38,K38)-SUMPRODUCT((tblHolidays[Учитывать]="Да")*(tblHolidays[Дата]&gt;=J38)*(tblHolidays[Дата]&lt;=K38)*(WEEKDAY(tblHolidays[Дата],2)&lt;=5))),""))</f>
      </c>
    </row>
    <row r="39" spans="1:12" x14ac:dyDescent="0.25">
      <c r="A39" s="9" t="s">
        <v>20</v>
      </c>
      <c r="B39" s="4" t="s">
        <v>20</v>
      </c>
      <c r="C39" s="10" t="s">
        <v>20</v>
      </c>
      <c r="D39" s="11" t="s">
        <v>20</v>
      </c>
      <c r="E39" s="11" t="s">
        <v>20</v>
      </c>
      <c r="F39" s="12">
        <f>IF(OR(D39="",E39=""),"",IFERROR(MAX(0,NETWORKDAYS(D39,E39)-SUMPRODUCT((tblHolidays[Учитывать]="Да")*(tblHolidays[Дата]&gt;=D39)*(tblHolidays[Дата]&lt;=E39)*(WEEKDAY(tblHolidays[Дата],2)&lt;=5))),""))</f>
      </c>
      <c r="G39" s="11" t="s">
        <v>20</v>
      </c>
      <c r="H39" s="11" t="s">
        <v>20</v>
      </c>
      <c r="I39" s="12">
        <f>IF(OR(G39="",H39=""),"",IFERROR(MAX(0,NETWORKDAYS(G39,H39)-SUMPRODUCT((tblHolidays[Учитывать]="Да")*(tblHolidays[Дата]&gt;=G39)*(tblHolidays[Дата]&lt;=H39)*(WEEKDAY(tblHolidays[Дата],2)&lt;=5))),""))</f>
      </c>
      <c r="J39" s="11" t="s">
        <v>20</v>
      </c>
      <c r="K39" s="11" t="s">
        <v>20</v>
      </c>
      <c r="L39" s="12">
        <f>IF(OR(J39="",K39=""),"",IFERROR(MAX(0,NETWORKDAYS(J39,K39)-SUMPRODUCT((tblHolidays[Учитывать]="Да")*(tblHolidays[Дата]&gt;=J39)*(tblHolidays[Дата]&lt;=K39)*(WEEKDAY(tblHolidays[Дата],2)&lt;=5))),""))</f>
      </c>
    </row>
    <row r="40" spans="1:12" x14ac:dyDescent="0.25">
      <c r="A40" s="9" t="s">
        <v>20</v>
      </c>
      <c r="B40" s="4" t="s">
        <v>20</v>
      </c>
      <c r="C40" s="10" t="s">
        <v>20</v>
      </c>
      <c r="D40" s="11" t="s">
        <v>20</v>
      </c>
      <c r="E40" s="11" t="s">
        <v>20</v>
      </c>
      <c r="F40" s="12">
        <f>IF(OR(D40="",E40=""),"",IFERROR(MAX(0,NETWORKDAYS(D40,E40)-SUMPRODUCT((tblHolidays[Учитывать]="Да")*(tblHolidays[Дата]&gt;=D40)*(tblHolidays[Дата]&lt;=E40)*(WEEKDAY(tblHolidays[Дата],2)&lt;=5))),""))</f>
      </c>
      <c r="G40" s="11" t="s">
        <v>20</v>
      </c>
      <c r="H40" s="11" t="s">
        <v>20</v>
      </c>
      <c r="I40" s="12">
        <f>IF(OR(G40="",H40=""),"",IFERROR(MAX(0,NETWORKDAYS(G40,H40)-SUMPRODUCT((tblHolidays[Учитывать]="Да")*(tblHolidays[Дата]&gt;=G40)*(tblHolidays[Дата]&lt;=H40)*(WEEKDAY(tblHolidays[Дата],2)&lt;=5))),""))</f>
      </c>
      <c r="J40" s="11" t="s">
        <v>20</v>
      </c>
      <c r="K40" s="11" t="s">
        <v>20</v>
      </c>
      <c r="L40" s="12">
        <f>IF(OR(J40="",K40=""),"",IFERROR(MAX(0,NETWORKDAYS(J40,K40)-SUMPRODUCT((tblHolidays[Учитывать]="Да")*(tblHolidays[Дата]&gt;=J40)*(tblHolidays[Дата]&lt;=K40)*(WEEKDAY(tblHolidays[Дата],2)&lt;=5))),""))</f>
      </c>
    </row>
    <row r="41" spans="1:12" x14ac:dyDescent="0.25">
      <c r="A41" s="9" t="s">
        <v>20</v>
      </c>
      <c r="B41" s="4" t="s">
        <v>20</v>
      </c>
      <c r="C41" s="10" t="s">
        <v>20</v>
      </c>
      <c r="D41" s="11" t="s">
        <v>20</v>
      </c>
      <c r="E41" s="11" t="s">
        <v>20</v>
      </c>
      <c r="F41" s="12">
        <f>IF(OR(D41="",E41=""),"",IFERROR(MAX(0,NETWORKDAYS(D41,E41)-SUMPRODUCT((tblHolidays[Учитывать]="Да")*(tblHolidays[Дата]&gt;=D41)*(tblHolidays[Дата]&lt;=E41)*(WEEKDAY(tblHolidays[Дата],2)&lt;=5))),""))</f>
      </c>
      <c r="G41" s="11" t="s">
        <v>20</v>
      </c>
      <c r="H41" s="11" t="s">
        <v>20</v>
      </c>
      <c r="I41" s="12">
        <f>IF(OR(G41="",H41=""),"",IFERROR(MAX(0,NETWORKDAYS(G41,H41)-SUMPRODUCT((tblHolidays[Учитывать]="Да")*(tblHolidays[Дата]&gt;=G41)*(tblHolidays[Дата]&lt;=H41)*(WEEKDAY(tblHolidays[Дата],2)&lt;=5))),""))</f>
      </c>
      <c r="J41" s="11" t="s">
        <v>20</v>
      </c>
      <c r="K41" s="11" t="s">
        <v>20</v>
      </c>
      <c r="L41" s="12">
        <f>IF(OR(J41="",K41=""),"",IFERROR(MAX(0,NETWORKDAYS(J41,K41)-SUMPRODUCT((tblHolidays[Учитывать]="Да")*(tblHolidays[Дата]&gt;=J41)*(tblHolidays[Дата]&lt;=K41)*(WEEKDAY(tblHolidays[Дата],2)&lt;=5))),""))</f>
      </c>
    </row>
    <row r="42" spans="1:12" x14ac:dyDescent="0.25">
      <c r="A42" s="9" t="s">
        <v>20</v>
      </c>
      <c r="B42" s="4" t="s">
        <v>20</v>
      </c>
      <c r="C42" s="10" t="s">
        <v>20</v>
      </c>
      <c r="D42" s="11" t="s">
        <v>20</v>
      </c>
      <c r="E42" s="11" t="s">
        <v>20</v>
      </c>
      <c r="F42" s="12">
        <f>IF(OR(D42="",E42=""),"",IFERROR(MAX(0,NETWORKDAYS(D42,E42)-SUMPRODUCT((tblHolidays[Учитывать]="Да")*(tblHolidays[Дата]&gt;=D42)*(tblHolidays[Дата]&lt;=E42)*(WEEKDAY(tblHolidays[Дата],2)&lt;=5))),""))</f>
      </c>
      <c r="G42" s="11" t="s">
        <v>20</v>
      </c>
      <c r="H42" s="11" t="s">
        <v>20</v>
      </c>
      <c r="I42" s="12">
        <f>IF(OR(G42="",H42=""),"",IFERROR(MAX(0,NETWORKDAYS(G42,H42)-SUMPRODUCT((tblHolidays[Учитывать]="Да")*(tblHolidays[Дата]&gt;=G42)*(tblHolidays[Дата]&lt;=H42)*(WEEKDAY(tblHolidays[Дата],2)&lt;=5))),""))</f>
      </c>
      <c r="J42" s="11" t="s">
        <v>20</v>
      </c>
      <c r="K42" s="11" t="s">
        <v>20</v>
      </c>
      <c r="L42" s="12">
        <f>IF(OR(J42="",K42=""),"",IFERROR(MAX(0,NETWORKDAYS(J42,K42)-SUMPRODUCT((tblHolidays[Учитывать]="Да")*(tblHolidays[Дата]&gt;=J42)*(tblHolidays[Дата]&lt;=K42)*(WEEKDAY(tblHolidays[Дата],2)&lt;=5))),""))</f>
      </c>
    </row>
    <row r="43" spans="1:12" x14ac:dyDescent="0.25">
      <c r="A43" s="9" t="s">
        <v>20</v>
      </c>
      <c r="B43" s="4" t="s">
        <v>20</v>
      </c>
      <c r="C43" s="10" t="s">
        <v>20</v>
      </c>
      <c r="D43" s="11" t="s">
        <v>20</v>
      </c>
      <c r="E43" s="11" t="s">
        <v>20</v>
      </c>
      <c r="F43" s="12">
        <f>IF(OR(D43="",E43=""),"",IFERROR(MAX(0,NETWORKDAYS(D43,E43)-SUMPRODUCT((tblHolidays[Учитывать]="Да")*(tblHolidays[Дата]&gt;=D43)*(tblHolidays[Дата]&lt;=E43)*(WEEKDAY(tblHolidays[Дата],2)&lt;=5))),""))</f>
      </c>
      <c r="G43" s="11" t="s">
        <v>20</v>
      </c>
      <c r="H43" s="11" t="s">
        <v>20</v>
      </c>
      <c r="I43" s="12">
        <f>IF(OR(G43="",H43=""),"",IFERROR(MAX(0,NETWORKDAYS(G43,H43)-SUMPRODUCT((tblHolidays[Учитывать]="Да")*(tblHolidays[Дата]&gt;=G43)*(tblHolidays[Дата]&lt;=H43)*(WEEKDAY(tblHolidays[Дата],2)&lt;=5))),""))</f>
      </c>
      <c r="J43" s="11" t="s">
        <v>20</v>
      </c>
      <c r="K43" s="11" t="s">
        <v>20</v>
      </c>
      <c r="L43" s="12">
        <f>IF(OR(J43="",K43=""),"",IFERROR(MAX(0,NETWORKDAYS(J43,K43)-SUMPRODUCT((tblHolidays[Учитывать]="Да")*(tblHolidays[Дата]&gt;=J43)*(tblHolidays[Дата]&lt;=K43)*(WEEKDAY(tblHolidays[Дата],2)&lt;=5))),""))</f>
      </c>
    </row>
  </sheetData>
  <mergeCells count="18">
    <mergeCell ref="A1:C1"/>
    <mergeCell ref="C3:G3"/>
    <mergeCell ref="C4:G4"/>
    <mergeCell ref="C5:G5"/>
    <mergeCell ref="C6:G6"/>
    <mergeCell ref="C7:G7"/>
    <mergeCell ref="C8:G8"/>
    <mergeCell ref="A11:M11"/>
    <mergeCell ref="C13:G13"/>
    <mergeCell ref="H13:M13"/>
    <mergeCell ref="C14:G14"/>
    <mergeCell ref="C15:G15"/>
    <mergeCell ref="C16:G16"/>
    <mergeCell ref="C17:G17"/>
    <mergeCell ref="C18:G18"/>
    <mergeCell ref="C19:G19"/>
    <mergeCell ref="C20:G20"/>
    <mergeCell ref="A22:M22"/>
  </mergeCells>
  <dataValidations count="5">
    <dataValidation type="whole" allowBlank="1" showErrorMessage="1" sqref="B14:B20">
      <formula1>0</formula1>
      <formula2>20</formula2>
    </dataValidation>
    <dataValidation type="whole" allowBlank="1" showErrorMessage="1" sqref="B6">
      <formula1>2020</formula1>
      <formula2>2100</formula2>
    </dataValidation>
    <dataValidation type="whole" allowBlank="1" showErrorMessage="1" sqref="B7">
      <formula1>1</formula1>
      <formula2>4</formula2>
    </dataValidation>
    <dataValidation type="decimal" allowBlank="1" showErrorMessage="1" sqref="B8">
      <formula1>1</formula1>
      <formula2>24</formula2>
    </dataValidation>
    <dataValidation type="decimal" allowBlank="1" showErrorMessage="1" sqref="C24:C43">
      <formula1>0</formula1>
      <formula2>1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 showGridLines="0">
      <pane ySplit="13" topLeftCell="A14" activePane="bottomLeft" state="frozen"/>
      <selection pane="bottomLeft" activeCell="A14" sqref="A14"/>
    </sheetView>
  </sheetViews>
  <sheetFormatPr defaultRowHeight="15" outlineLevelRow="0" outlineLevelCol="0" x14ac:dyDescent="55"/>
  <cols>
    <col min="1" max="1" width="26.428571428571427" customWidth="1"/>
    <col min="2" max="2" width="33.57142857142857" customWidth="1"/>
    <col min="3" max="3" width="65" customWidth="1"/>
    <col min="4" max="4" width="16.428571428571427" customWidth="1"/>
  </cols>
  <sheetData>
    <row r="1" spans="1:4" x14ac:dyDescent="0.25">
      <c r="A1" s="1" t="s">
        <v>51</v>
      </c>
      <c r="B1" s="1"/>
      <c r="C1" s="1"/>
      <c r="D1" s="1"/>
    </row>
    <row r="3" spans="1:5" x14ac:dyDescent="0.25">
      <c r="A3" s="2" t="s">
        <v>1</v>
      </c>
      <c r="B3" s="2" t="s">
        <v>2</v>
      </c>
      <c r="C3" s="2" t="s">
        <v>3</v>
      </c>
      <c r="D3" s="2"/>
      <c r="E3" s="2"/>
    </row>
    <row r="4" spans="1:3" x14ac:dyDescent="0.25">
      <c r="A4" s="3" t="s">
        <v>52</v>
      </c>
      <c r="B4" s="11">
        <v>46113</v>
      </c>
      <c r="C4" s="3" t="s">
        <v>53</v>
      </c>
    </row>
    <row r="5" spans="1:3" x14ac:dyDescent="0.25">
      <c r="A5" s="3" t="s">
        <v>54</v>
      </c>
      <c r="B5" s="11">
        <v>46203</v>
      </c>
      <c r="C5" s="3" t="s">
        <v>55</v>
      </c>
    </row>
    <row r="6" spans="1:3" x14ac:dyDescent="0.25">
      <c r="A6" s="3" t="s">
        <v>56</v>
      </c>
      <c r="B6" s="5">
        <v>62</v>
      </c>
      <c r="C6" s="3" t="s">
        <v>57</v>
      </c>
    </row>
    <row r="7" spans="1:3" x14ac:dyDescent="0.25">
      <c r="A7" s="3" t="s">
        <v>58</v>
      </c>
      <c r="B7" s="12">
        <f>IF(OR(B4="",B5=""),"",NETWORKDAYS(B4,B5))</f>
      </c>
      <c r="C7" s="3" t="s">
        <v>59</v>
      </c>
    </row>
    <row r="8" spans="1:3" x14ac:dyDescent="0.25">
      <c r="A8" s="3" t="s">
        <v>60</v>
      </c>
      <c r="B8" s="12">
        <f>IF(OR(B4="",B5="",B6=""),"",MAX(0,B7-B6))</f>
      </c>
      <c r="C8" s="3" t="s">
        <v>61</v>
      </c>
    </row>
    <row r="11" spans="1:4" x14ac:dyDescent="0.25">
      <c r="A11" s="6" t="s">
        <v>62</v>
      </c>
      <c r="B11" s="6"/>
      <c r="C11" s="6"/>
      <c r="D11" s="6"/>
    </row>
    <row r="13" spans="1:4" x14ac:dyDescent="0.25">
      <c r="A13" s="2" t="s">
        <v>63</v>
      </c>
      <c r="B13" s="2" t="s">
        <v>64</v>
      </c>
      <c r="C13" s="2" t="s">
        <v>3</v>
      </c>
      <c r="D13" s="2" t="s">
        <v>65</v>
      </c>
    </row>
    <row r="14" spans="1:4" x14ac:dyDescent="0.25">
      <c r="A14" s="13">
        <f t="shared" ref="A14:A33" si="0">IF(OR($B$4="",ROW(A1)&gt;$B$8),"",WORKDAY($B$4-1,ROW(A1)))</f>
      </c>
      <c r="B14" s="4" t="s">
        <v>20</v>
      </c>
      <c r="C14" s="4" t="s">
        <v>20</v>
      </c>
      <c r="D14" s="9">
        <f t="shared" ref="D14:D33" si="1">IF($A14="","","Да")</f>
      </c>
    </row>
    <row r="15" spans="1:4" x14ac:dyDescent="0.25">
      <c r="A15" s="13">
        <f t="shared" si="0"/>
      </c>
      <c r="B15" s="4" t="s">
        <v>20</v>
      </c>
      <c r="C15" s="4" t="s">
        <v>20</v>
      </c>
      <c r="D15" s="9">
        <f t="shared" si="1"/>
      </c>
    </row>
    <row r="16" spans="1:4" x14ac:dyDescent="0.25">
      <c r="A16" s="13">
        <f t="shared" si="0"/>
      </c>
      <c r="B16" s="4" t="s">
        <v>20</v>
      </c>
      <c r="C16" s="4" t="s">
        <v>20</v>
      </c>
      <c r="D16" s="9">
        <f t="shared" si="1"/>
      </c>
    </row>
    <row r="17" spans="1:4" x14ac:dyDescent="0.25">
      <c r="A17" s="13">
        <f t="shared" si="0"/>
      </c>
      <c r="B17" s="4" t="s">
        <v>20</v>
      </c>
      <c r="C17" s="4" t="s">
        <v>20</v>
      </c>
      <c r="D17" s="9">
        <f t="shared" si="1"/>
      </c>
    </row>
    <row r="18" spans="1:4" x14ac:dyDescent="0.25">
      <c r="A18" s="13">
        <f t="shared" si="0"/>
      </c>
      <c r="B18" s="4" t="s">
        <v>20</v>
      </c>
      <c r="C18" s="4" t="s">
        <v>20</v>
      </c>
      <c r="D18" s="9">
        <f t="shared" si="1"/>
      </c>
    </row>
    <row r="19" spans="1:4" x14ac:dyDescent="0.25">
      <c r="A19" s="13">
        <f t="shared" si="0"/>
      </c>
      <c r="B19" s="4" t="s">
        <v>20</v>
      </c>
      <c r="C19" s="4" t="s">
        <v>20</v>
      </c>
      <c r="D19" s="9">
        <f t="shared" si="1"/>
      </c>
    </row>
    <row r="20" spans="1:4" x14ac:dyDescent="0.25">
      <c r="A20" s="13">
        <f t="shared" si="0"/>
      </c>
      <c r="B20" s="4" t="s">
        <v>20</v>
      </c>
      <c r="C20" s="4" t="s">
        <v>20</v>
      </c>
      <c r="D20" s="9">
        <f t="shared" si="1"/>
      </c>
    </row>
    <row r="21" spans="1:4" x14ac:dyDescent="0.25">
      <c r="A21" s="13">
        <f t="shared" si="0"/>
      </c>
      <c r="B21" s="4" t="s">
        <v>20</v>
      </c>
      <c r="C21" s="4" t="s">
        <v>20</v>
      </c>
      <c r="D21" s="9">
        <f t="shared" si="1"/>
      </c>
    </row>
    <row r="22" spans="1:4" x14ac:dyDescent="0.25">
      <c r="A22" s="13">
        <f t="shared" si="0"/>
      </c>
      <c r="B22" s="4" t="s">
        <v>20</v>
      </c>
      <c r="C22" s="4" t="s">
        <v>20</v>
      </c>
      <c r="D22" s="9">
        <f t="shared" si="1"/>
      </c>
    </row>
    <row r="23" spans="1:4" x14ac:dyDescent="0.25">
      <c r="A23" s="13">
        <f t="shared" si="0"/>
      </c>
      <c r="B23" s="4" t="s">
        <v>20</v>
      </c>
      <c r="C23" s="4" t="s">
        <v>20</v>
      </c>
      <c r="D23" s="9">
        <f t="shared" si="1"/>
      </c>
    </row>
    <row r="24" spans="1:4" x14ac:dyDescent="0.25">
      <c r="A24" s="13">
        <f t="shared" si="0"/>
      </c>
      <c r="B24" s="4" t="s">
        <v>20</v>
      </c>
      <c r="C24" s="4" t="s">
        <v>20</v>
      </c>
      <c r="D24" s="9">
        <f t="shared" si="1"/>
      </c>
    </row>
    <row r="25" spans="1:4" x14ac:dyDescent="0.25">
      <c r="A25" s="13">
        <f t="shared" si="0"/>
      </c>
      <c r="B25" s="4" t="s">
        <v>20</v>
      </c>
      <c r="C25" s="4" t="s">
        <v>20</v>
      </c>
      <c r="D25" s="9">
        <f t="shared" si="1"/>
      </c>
    </row>
    <row r="26" spans="1:4" x14ac:dyDescent="0.25">
      <c r="A26" s="13">
        <f t="shared" si="0"/>
      </c>
      <c r="B26" s="4" t="s">
        <v>20</v>
      </c>
      <c r="C26" s="4" t="s">
        <v>20</v>
      </c>
      <c r="D26" s="9">
        <f t="shared" si="1"/>
      </c>
    </row>
    <row r="27" spans="1:4" x14ac:dyDescent="0.25">
      <c r="A27" s="13">
        <f t="shared" si="0"/>
      </c>
      <c r="B27" s="4" t="s">
        <v>20</v>
      </c>
      <c r="C27" s="4" t="s">
        <v>20</v>
      </c>
      <c r="D27" s="9">
        <f t="shared" si="1"/>
      </c>
    </row>
    <row r="28" spans="1:4" x14ac:dyDescent="0.25">
      <c r="A28" s="13">
        <f t="shared" si="0"/>
      </c>
      <c r="B28" s="4" t="s">
        <v>20</v>
      </c>
      <c r="C28" s="4" t="s">
        <v>20</v>
      </c>
      <c r="D28" s="9">
        <f t="shared" si="1"/>
      </c>
    </row>
    <row r="29" spans="1:4" x14ac:dyDescent="0.25">
      <c r="A29" s="13">
        <f t="shared" si="0"/>
      </c>
      <c r="B29" s="4" t="s">
        <v>20</v>
      </c>
      <c r="C29" s="4" t="s">
        <v>20</v>
      </c>
      <c r="D29" s="9">
        <f t="shared" si="1"/>
      </c>
    </row>
    <row r="30" spans="1:4" x14ac:dyDescent="0.25">
      <c r="A30" s="13">
        <f t="shared" si="0"/>
      </c>
      <c r="B30" s="4" t="s">
        <v>20</v>
      </c>
      <c r="C30" s="4" t="s">
        <v>20</v>
      </c>
      <c r="D30" s="9">
        <f t="shared" si="1"/>
      </c>
    </row>
    <row r="31" spans="1:4" x14ac:dyDescent="0.25">
      <c r="A31" s="13">
        <f t="shared" si="0"/>
      </c>
      <c r="B31" s="4" t="s">
        <v>20</v>
      </c>
      <c r="C31" s="4" t="s">
        <v>20</v>
      </c>
      <c r="D31" s="9">
        <f t="shared" si="1"/>
      </c>
    </row>
    <row r="32" spans="1:4" x14ac:dyDescent="0.25">
      <c r="A32" s="13">
        <f t="shared" si="0"/>
      </c>
      <c r="B32" s="4" t="s">
        <v>20</v>
      </c>
      <c r="C32" s="4" t="s">
        <v>20</v>
      </c>
      <c r="D32" s="9">
        <f t="shared" si="1"/>
      </c>
    </row>
    <row r="33" spans="1:4" x14ac:dyDescent="0.25">
      <c r="A33" s="13">
        <f t="shared" si="0"/>
      </c>
      <c r="B33" s="4" t="s">
        <v>20</v>
      </c>
      <c r="C33" s="4" t="s">
        <v>20</v>
      </c>
      <c r="D33" s="9">
        <f t="shared" si="1"/>
      </c>
    </row>
  </sheetData>
  <mergeCells count="2">
    <mergeCell ref="A1:D1"/>
    <mergeCell ref="A11:D11"/>
  </mergeCells>
  <dataValidations count="2">
    <dataValidation type="whole" allowBlank="1" showErrorMessage="1" sqref="B6">
      <formula1>0</formula1>
      <formula2>100</formula2>
    </dataValidation>
    <dataValidation type="list" allowBlank="1" showInputMessage="1" showErrorMessage="1" sqref="D14:D33">
      <formula1>"Да,Нет"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35"/>
  <sheetViews>
    <sheetView workbookViewId="0" showGridLines="0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1" width="5" customWidth="1"/>
    <col min="2" max="2" width="6.428571428571429" customWidth="1"/>
    <col min="3" max="3" width="35" customWidth="1"/>
    <col min="4" max="4" width="47.857142857142854" customWidth="1"/>
    <col min="5" max="6" width="17.857142857142858" customWidth="1"/>
    <col min="7" max="13" width="16.428571428571427" customWidth="1"/>
  </cols>
  <sheetData>
    <row r="1" spans="3:10" x14ac:dyDescent="0.25">
      <c r="C1" s="14" t="s">
        <v>66</v>
      </c>
      <c r="D1" s="14"/>
      <c r="E1" s="14"/>
      <c r="F1" s="14"/>
      <c r="G1" s="14"/>
      <c r="H1" s="14"/>
      <c r="I1" s="14"/>
      <c r="J1" s="14"/>
    </row>
    <row r="2" spans="3:10" x14ac:dyDescent="0.25">
      <c r="C2" s="15" t="s">
        <v>4</v>
      </c>
      <c r="D2" s="15"/>
      <c r="E2" s="16">
        <f>'00_Настройки'!B4</f>
      </c>
      <c r="F2" s="16"/>
      <c r="G2" s="16"/>
      <c r="H2" s="16"/>
      <c r="I2" s="16"/>
      <c r="J2" s="16"/>
    </row>
    <row r="3" spans="3:10" x14ac:dyDescent="0.25">
      <c r="C3" s="15" t="s">
        <v>12</v>
      </c>
      <c r="D3" s="15"/>
      <c r="E3" s="16">
        <f>'00_Настройки'!B7&amp;" квартал "&amp;'00_Настройки'!B6</f>
      </c>
      <c r="F3" s="16"/>
      <c r="G3" s="16"/>
      <c r="H3" s="16"/>
      <c r="I3" s="16"/>
      <c r="J3" s="16"/>
    </row>
    <row r="4" spans="3:10" x14ac:dyDescent="0.25">
      <c r="C4" s="15" t="s">
        <v>67</v>
      </c>
      <c r="D4" s="15"/>
      <c r="E4" s="16">
        <f>'00_Настройки'!B5</f>
      </c>
      <c r="F4" s="16"/>
      <c r="G4" s="16"/>
      <c r="H4" s="16"/>
      <c r="I4" s="16"/>
      <c r="J4" s="16"/>
    </row>
    <row r="6" spans="3:7" x14ac:dyDescent="0.25">
      <c r="C6" s="2" t="s">
        <v>68</v>
      </c>
      <c r="D6" s="2"/>
      <c r="E6" s="2" t="s">
        <v>2</v>
      </c>
      <c r="F6" s="17" t="s">
        <v>69</v>
      </c>
      <c r="G6" s="17" t="s">
        <v>70</v>
      </c>
    </row>
    <row r="7" spans="3:7" x14ac:dyDescent="0.25">
      <c r="C7" s="18" t="s">
        <v>71</v>
      </c>
      <c r="D7" s="18"/>
      <c r="E7" s="19">
        <f>'01_Настройки квартала'!B6</f>
      </c>
      <c r="F7" s="20" t="s">
        <v>20</v>
      </c>
      <c r="G7" s="20" t="s">
        <v>20</v>
      </c>
    </row>
    <row r="8" spans="3:7" x14ac:dyDescent="0.25">
      <c r="C8" s="18" t="s">
        <v>72</v>
      </c>
      <c r="D8" s="18"/>
      <c r="E8" s="19">
        <f>IF(G8="",F8,G8)</f>
      </c>
      <c r="F8" s="20">
        <f>SUMIFS(tblTeamMembers[Аллокация],tblTeamMembers[Роль],"Аналитик")</f>
      </c>
      <c r="G8" s="20" t="s">
        <v>20</v>
      </c>
    </row>
    <row r="9" spans="3:7" x14ac:dyDescent="0.25">
      <c r="C9" s="18" t="s">
        <v>73</v>
      </c>
      <c r="D9" s="18"/>
      <c r="E9" s="19">
        <f>IF(G9="",F9,G9)</f>
      </c>
      <c r="F9" s="20">
        <f>SUMIFS(tblTeamMembers[Аллокация],tblTeamMembers[Роль],"Разработчик бэкенд")</f>
      </c>
      <c r="G9" s="20" t="s">
        <v>20</v>
      </c>
    </row>
    <row r="10" spans="3:7" x14ac:dyDescent="0.25">
      <c r="C10" s="18" t="s">
        <v>74</v>
      </c>
      <c r="D10" s="18"/>
      <c r="E10" s="19">
        <f>IF(G10="",F10,G10)</f>
      </c>
      <c r="F10" s="20">
        <f>SUMIFS(tblTeamMembers[Аллокация],tblTeamMembers[Роль],"Разработчик фронтенд")</f>
      </c>
      <c r="G10" s="20" t="s">
        <v>20</v>
      </c>
    </row>
    <row r="11" spans="3:7" x14ac:dyDescent="0.25">
      <c r="C11" s="18" t="s">
        <v>75</v>
      </c>
      <c r="D11" s="18"/>
      <c r="E11" s="19">
        <f>IF(G11="",F11,G11)</f>
      </c>
      <c r="F11" s="20">
        <f>SUMIFS(tblTeamMembers[Аллокация],tblTeamMembers[Роль],"Тестировщик")</f>
      </c>
      <c r="G11" s="20" t="s">
        <v>20</v>
      </c>
    </row>
    <row r="12" spans="3:7" x14ac:dyDescent="0.25">
      <c r="C12" s="18" t="s">
        <v>76</v>
      </c>
      <c r="D12" s="18"/>
      <c r="E12" s="19">
        <f>IF(G12="",F12,G12)</f>
      </c>
      <c r="F12" s="20">
        <f>SUMIFS(tblTeamMembers[Аллокация],tblTeamMembers[Роль],"Тим-лид / техлид")</f>
      </c>
      <c r="G12" s="20" t="s">
        <v>20</v>
      </c>
    </row>
    <row r="13" spans="3:7" x14ac:dyDescent="0.25">
      <c r="C13" s="18" t="s">
        <v>21</v>
      </c>
      <c r="D13" s="18"/>
      <c r="E13" s="19">
        <f>IF(G13="",F13,G13)</f>
      </c>
      <c r="F13" s="20">
        <f>SUMIFS(tblTeamMembers[Аллокация],tblTeamMembers[Роль],"Лид по аналитике")</f>
      </c>
      <c r="G13" s="20" t="s">
        <v>20</v>
      </c>
    </row>
    <row r="14" spans="3:7" x14ac:dyDescent="0.25">
      <c r="C14" s="18" t="s">
        <v>77</v>
      </c>
      <c r="D14" s="18"/>
      <c r="E14" s="19">
        <f>IF(G14="",F14,G14)</f>
      </c>
      <c r="F14" s="20">
        <f>IFERROR(SUMPRODUCT((tblTeamMembers[Роль]="Аналитик")*tblTeamMembers[Аллокация],tblTeamMembers[Отпуск 1 дней])+SUMPRODUCT((tblTeamMembers[Роль]="Аналитик")*tblTeamMembers[Аллокация],tblTeamMembers[Отпуск 2 дней])+SUMPRODUCT((tblTeamMembers[Роль]="Аналитик")*tblTeamMembers[Аллокация],tblTeamMembers[Отпуск 3 дней]),0)</f>
      </c>
      <c r="G14" s="20" t="s">
        <v>20</v>
      </c>
    </row>
    <row r="15" spans="3:7" x14ac:dyDescent="0.25">
      <c r="C15" s="18" t="s">
        <v>78</v>
      </c>
      <c r="D15" s="18"/>
      <c r="E15" s="19">
        <f>IF(G15="",F15,G15)</f>
      </c>
      <c r="F15" s="20">
        <f>IFERROR(SUMPRODUCT((tblTeamMembers[Роль]="Разработчик бэкенд")*tblTeamMembers[Аллокация],tblTeamMembers[Отпуск 1 дней])+SUMPRODUCT((tblTeamMembers[Роль]="Разработчик бэкенд")*tblTeamMembers[Аллокация],tblTeamMembers[Отпуск 2 дней])+SUMPRODUCT((tblTeamMembers[Роль]="Разработчик бэкенд")*tblTeamMembers[Аллокация],tblTeamMembers[Отпуск 3 дней]),0)</f>
      </c>
      <c r="G15" s="20" t="s">
        <v>20</v>
      </c>
    </row>
    <row r="16" spans="3:7" x14ac:dyDescent="0.25">
      <c r="C16" s="18" t="s">
        <v>79</v>
      </c>
      <c r="D16" s="18"/>
      <c r="E16" s="19">
        <f>IF(G16="",F16,G16)</f>
      </c>
      <c r="F16" s="20">
        <f>IFERROR(SUMPRODUCT((tblTeamMembers[Роль]="Разработчик фронтенд")*tblTeamMembers[Аллокация],tblTeamMembers[Отпуск 1 дней])+SUMPRODUCT((tblTeamMembers[Роль]="Разработчик фронтенд")*tblTeamMembers[Аллокация],tblTeamMembers[Отпуск 2 дней])+SUMPRODUCT((tblTeamMembers[Роль]="Разработчик фронтенд")*tblTeamMembers[Аллокация],tblTeamMembers[Отпуск 3 дней]),0)</f>
      </c>
      <c r="G16" s="20" t="s">
        <v>20</v>
      </c>
    </row>
    <row r="17" spans="3:7" x14ac:dyDescent="0.25">
      <c r="C17" s="18" t="s">
        <v>80</v>
      </c>
      <c r="D17" s="18"/>
      <c r="E17" s="19">
        <f>IF(G17="",F17,G17)</f>
      </c>
      <c r="F17" s="20">
        <f>IFERROR(SUMPRODUCT((tblTeamMembers[Роль]="Тестировщик")*tblTeamMembers[Аллокация],tblTeamMembers[Отпуск 1 дней])+SUMPRODUCT((tblTeamMembers[Роль]="Тестировщик")*tblTeamMembers[Аллокация],tblTeamMembers[Отпуск 2 дней])+SUMPRODUCT((tblTeamMembers[Роль]="Тестировщик")*tblTeamMembers[Аллокация],tblTeamMembers[Отпуск 3 дней]),0)</f>
      </c>
      <c r="G17" s="20" t="s">
        <v>20</v>
      </c>
    </row>
    <row r="18" spans="3:7" x14ac:dyDescent="0.25">
      <c r="C18" s="18" t="s">
        <v>81</v>
      </c>
      <c r="D18" s="18"/>
      <c r="E18" s="19">
        <f>IF(G18="",F18,G18)</f>
      </c>
      <c r="F18" s="20">
        <f>IFERROR(SUMPRODUCT((tblTeamMembers[Роль]="Тим-лид / техлид")*tblTeamMembers[Аллокация],tblTeamMembers[Отпуск 1 дней])+SUMPRODUCT((tblTeamMembers[Роль]="Тим-лид / техлид")*tblTeamMembers[Аллокация],tblTeamMembers[Отпуск 2 дней])+SUMPRODUCT((tblTeamMembers[Роль]="Тим-лид / техлид")*tblTeamMembers[Аллокация],tblTeamMembers[Отпуск 3 дней]),0)</f>
      </c>
      <c r="G18" s="20" t="s">
        <v>20</v>
      </c>
    </row>
    <row r="19" spans="3:7" x14ac:dyDescent="0.25">
      <c r="C19" s="18" t="s">
        <v>82</v>
      </c>
      <c r="D19" s="18"/>
      <c r="E19" s="19">
        <f>IF(G19="",F19,G19)</f>
      </c>
      <c r="F19" s="20">
        <f>IFERROR(SUMPRODUCT((tblTeamMembers[Роль]="Лид по аналитике")*tblTeamMembers[Аллокация],tblTeamMembers[Отпуск 1 дней])+SUMPRODUCT((tblTeamMembers[Роль]="Лид по аналитике")*tblTeamMembers[Аллокация],tblTeamMembers[Отпуск 2 дней])+SUMPRODUCT((tblTeamMembers[Роль]="Лид по аналитике")*tblTeamMembers[Аллокация],tblTeamMembers[Отпуск 3 дней]),0)</f>
      </c>
      <c r="G19" s="20" t="s">
        <v>20</v>
      </c>
    </row>
    <row r="20" spans="3:13" x14ac:dyDescent="0.25">
      <c r="C20" s="21" t="s">
        <v>83</v>
      </c>
      <c r="D20" s="21"/>
      <c r="E20" s="22">
        <v>0.7</v>
      </c>
      <c r="F20" s="8" t="s">
        <v>84</v>
      </c>
      <c r="G20" s="8"/>
      <c r="H20" s="8"/>
      <c r="I20" s="8"/>
      <c r="J20" s="8"/>
      <c r="K20" s="8"/>
      <c r="L20" s="8"/>
      <c r="M20" s="8"/>
    </row>
    <row r="21" spans="3:13" x14ac:dyDescent="0.25">
      <c r="C21" s="18" t="s">
        <v>85</v>
      </c>
      <c r="D21" s="18"/>
      <c r="E21" s="23">
        <v>0.5</v>
      </c>
      <c r="F21" s="8" t="s">
        <v>86</v>
      </c>
      <c r="G21" s="8"/>
      <c r="H21" s="8"/>
      <c r="I21" s="8"/>
      <c r="J21" s="8"/>
      <c r="K21" s="8"/>
      <c r="L21" s="8"/>
      <c r="M21" s="8"/>
    </row>
    <row r="22" spans="3:13" x14ac:dyDescent="0.25">
      <c r="C22" s="18" t="s">
        <v>87</v>
      </c>
      <c r="D22" s="18"/>
      <c r="E22" s="23">
        <v>0.5</v>
      </c>
      <c r="F22" s="8" t="s">
        <v>88</v>
      </c>
      <c r="G22" s="8"/>
      <c r="H22" s="8"/>
      <c r="I22" s="8"/>
      <c r="J22" s="8"/>
      <c r="K22" s="8"/>
      <c r="L22" s="8"/>
      <c r="M22" s="8"/>
    </row>
    <row r="23" spans="3:7" x14ac:dyDescent="0.25">
      <c r="C23" s="24" t="s">
        <v>89</v>
      </c>
      <c r="D23" s="24"/>
      <c r="E23" s="25">
        <f>IF(G23="",F23,G23)</f>
      </c>
      <c r="F23" s="25">
        <f>SUMIFS(tblTeamMembers[Аллокация],tblTeamMembers[Роль],"Дизайнер")</f>
      </c>
      <c r="G23" s="25" t="s">
        <v>20</v>
      </c>
    </row>
    <row r="24" spans="3:7" x14ac:dyDescent="0.25">
      <c r="C24" s="24" t="s">
        <v>90</v>
      </c>
      <c r="D24" s="24"/>
      <c r="E24" s="25">
        <f>IF(G24="",F24,G24)</f>
      </c>
      <c r="F24" s="25">
        <f>IFERROR(SUMPRODUCT((tblTeamMembers[Роль]="Дизайнер")*tblTeamMembers[Аллокация],tblTeamMembers[Отпуск 1 дней])+SUMPRODUCT((tblTeamMembers[Роль]="Дизайнер")*tblTeamMembers[Аллокация],tblTeamMembers[Отпуск 2 дней])+SUMPRODUCT((tblTeamMembers[Роль]="Дизайнер")*tblTeamMembers[Аллокация],tblTeamMembers[Отпуск 3 дней]),0)</f>
      </c>
      <c r="G24" s="25" t="s">
        <v>20</v>
      </c>
    </row>
    <row r="25" spans="3:13" x14ac:dyDescent="0.25">
      <c r="C25" s="24" t="s">
        <v>91</v>
      </c>
      <c r="D25" s="24"/>
      <c r="E25" s="26">
        <v>0.7</v>
      </c>
      <c r="F25" s="24" t="s">
        <v>92</v>
      </c>
      <c r="G25" s="24"/>
      <c r="H25" s="24"/>
      <c r="I25" s="24"/>
      <c r="J25" s="24"/>
      <c r="K25" s="24"/>
      <c r="L25" s="24"/>
      <c r="M25" s="24"/>
    </row>
    <row r="26" spans="3:6" x14ac:dyDescent="0.25">
      <c r="C26" s="18"/>
      <c r="D26" s="18"/>
      <c r="E26" s="27" t="s">
        <v>93</v>
      </c>
      <c r="F26" s="27" t="s">
        <v>94</v>
      </c>
    </row>
    <row r="27" spans="3:6" x14ac:dyDescent="0.25">
      <c r="C27" s="15" t="s">
        <v>95</v>
      </c>
      <c r="D27" s="15"/>
      <c r="E27" s="28">
        <f>IFERROR(ROUNDDOWN(((E7*E8-E14)*E20)+((E7*E13-E19)*E22),0),0)</f>
      </c>
      <c r="F27" s="28">
        <f>IFERROR(E27*'00_Настройки'!B$8,0)</f>
      </c>
    </row>
    <row r="28" spans="3:6" x14ac:dyDescent="0.25">
      <c r="C28" s="15" t="s">
        <v>96</v>
      </c>
      <c r="D28" s="15"/>
      <c r="E28" s="28">
        <f>IFERROR(ROUNDDOWN(((E7*E9-E15)*E20)+((E7*E12-E18)*E21),0),0)</f>
      </c>
      <c r="F28" s="28">
        <f>IFERROR(E28*'00_Настройки'!B$8,0)</f>
      </c>
    </row>
    <row r="29" spans="3:6" x14ac:dyDescent="0.25">
      <c r="C29" s="15" t="s">
        <v>97</v>
      </c>
      <c r="D29" s="15"/>
      <c r="E29" s="28">
        <f>IFERROR(ROUNDDOWN((E7*E10-E16)*E20,0),0)</f>
      </c>
      <c r="F29" s="28">
        <f>IFERROR(E29*'00_Настройки'!B$8,0)</f>
      </c>
    </row>
    <row r="30" spans="3:6" x14ac:dyDescent="0.25">
      <c r="C30" s="15" t="s">
        <v>98</v>
      </c>
      <c r="D30" s="15"/>
      <c r="E30" s="28">
        <f>IFERROR(ROUNDDOWN((E7*E11-E17)*E20,0),0)</f>
      </c>
      <c r="F30" s="28">
        <f>IFERROR(E30*'00_Настройки'!B$8,0)</f>
      </c>
    </row>
    <row r="31" spans="5:6" x14ac:dyDescent="0.25">
      <c r="E31" s="29"/>
      <c r="F31" s="29"/>
    </row>
    <row r="32" spans="3:6" x14ac:dyDescent="0.25">
      <c r="C32" s="15" t="s">
        <v>99</v>
      </c>
      <c r="D32" s="15"/>
      <c r="E32" s="28">
        <f>SUM(E27:E30)</f>
      </c>
      <c r="F32" s="28">
        <f>SUM(F27:F30)</f>
      </c>
    </row>
    <row r="34" spans="3:6" x14ac:dyDescent="0.25">
      <c r="C34" s="24" t="s">
        <v>100</v>
      </c>
      <c r="D34" s="24"/>
      <c r="E34" s="25">
        <f>IFERROR(ROUNDDOWN((E7*E23-E24)*E25,0),0)</f>
      </c>
      <c r="F34" s="25">
        <f>IFERROR(E34*'00_Настройки'!B$8,0)</f>
      </c>
    </row>
    <row r="35" spans="3:6" x14ac:dyDescent="0.25">
      <c r="C35" s="24" t="s">
        <v>101</v>
      </c>
      <c r="D35" s="24"/>
      <c r="E35" s="25">
        <f>E32+E34</f>
      </c>
      <c r="F35" s="25">
        <f>F32+F34</f>
      </c>
    </row>
  </sheetData>
  <mergeCells count="38">
    <mergeCell ref="C1:J1"/>
    <mergeCell ref="C2:D2"/>
    <mergeCell ref="E2:J2"/>
    <mergeCell ref="C3:D3"/>
    <mergeCell ref="E3:J3"/>
    <mergeCell ref="C4:D4"/>
    <mergeCell ref="E4:J4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F20:M20"/>
    <mergeCell ref="C21:D21"/>
    <mergeCell ref="F21:M21"/>
    <mergeCell ref="C22:D22"/>
    <mergeCell ref="F22:M22"/>
    <mergeCell ref="C23:D23"/>
    <mergeCell ref="C24:D24"/>
    <mergeCell ref="C25:D25"/>
    <mergeCell ref="F25:M25"/>
    <mergeCell ref="C27:D27"/>
    <mergeCell ref="C28:D28"/>
    <mergeCell ref="C29:D29"/>
    <mergeCell ref="C30:D30"/>
    <mergeCell ref="C32:D32"/>
    <mergeCell ref="C34:D34"/>
    <mergeCell ref="C35:D35"/>
  </mergeCells>
  <dataValidations count="8">
    <dataValidation type="decimal" allowBlank="1" showErrorMessage="1" sqref="E10:E19">
      <formula1>0</formula1>
      <formula2>999999</formula2>
    </dataValidation>
    <dataValidation type="decimal" allowBlank="1" showErrorMessage="1" sqref="E20:E22">
      <formula1>0</formula1>
      <formula2>1</formula2>
    </dataValidation>
    <dataValidation type="decimal" allowBlank="1" showErrorMessage="1" sqref="E23:E24">
      <formula1>0</formula1>
      <formula2>999999</formula2>
    </dataValidation>
    <dataValidation type="decimal" allowBlank="1" showErrorMessage="1" sqref="E25">
      <formula1>0</formula1>
      <formula2>1</formula2>
    </dataValidation>
    <dataValidation type="decimal" allowBlank="1" showErrorMessage="1" sqref="E7:E19">
      <formula1>0</formula1>
      <formula2>999999</formula2>
    </dataValidation>
    <dataValidation type="decimal" allowBlank="1" showErrorMessage="1" sqref="G10:G19">
      <formula1>0</formula1>
      <formula2>999999</formula2>
    </dataValidation>
    <dataValidation type="decimal" allowBlank="1" showErrorMessage="1" sqref="G23:G24">
      <formula1>0</formula1>
      <formula2>999999</formula2>
    </dataValidation>
    <dataValidation type="decimal" allowBlank="1" showErrorMessage="1" sqref="G8:G19">
      <formula1>0</formula1>
      <formula2>999999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3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2" width="5.857142857142857" customWidth="1"/>
    <col min="3" max="3" width="13.714285714285714" customWidth="1"/>
    <col min="4" max="4" width="23.857142857142858" customWidth="1"/>
    <col min="5" max="5" width="67.71428571428571" customWidth="1"/>
    <col min="6" max="6" width="23.857142857142858" customWidth="1"/>
    <col min="7" max="7" width="30.714285714285715" customWidth="1"/>
    <col min="8" max="12" width="7.285714285714286" customWidth="1"/>
    <col min="13" max="13" width="73.42857142857143" customWidth="1"/>
    <col min="14" max="14" width="5.857142857142857" customWidth="1"/>
    <col min="15" max="15" width="19.285714285714285" customWidth="1"/>
  </cols>
  <sheetData>
    <row r="1" spans="3:12" x14ac:dyDescent="0.25">
      <c r="C1" s="30" t="s">
        <v>102</v>
      </c>
      <c r="D1" s="30" t="s">
        <v>103</v>
      </c>
      <c r="E1" s="1" t="s">
        <v>104</v>
      </c>
      <c r="H1" s="1" t="s">
        <v>105</v>
      </c>
      <c r="I1" s="1"/>
      <c r="J1" s="1"/>
      <c r="K1" s="1"/>
      <c r="L1" s="1"/>
    </row>
    <row r="2" spans="1:12" x14ac:dyDescent="0.25">
      <c r="A2" s="30" t="s">
        <v>106</v>
      </c>
      <c r="B2" s="30"/>
      <c r="C2" s="30" t="s">
        <v>107</v>
      </c>
      <c r="D2" s="30" t="s">
        <v>108</v>
      </c>
      <c r="F2" s="30" t="s">
        <v>109</v>
      </c>
      <c r="H2" s="31">
        <f>SUM(H4:H103)</f>
      </c>
      <c r="I2" s="31">
        <f>SUM(I4:I103)</f>
      </c>
      <c r="J2" s="31">
        <f>SUM(J4:J103)</f>
      </c>
      <c r="K2" s="31">
        <f>SUM(K4:K103)</f>
      </c>
      <c r="L2" s="31">
        <f>SUM(L4:L103)</f>
      </c>
    </row>
    <row r="3" spans="1:15" x14ac:dyDescent="0.25">
      <c r="A3" s="2" t="s">
        <v>110</v>
      </c>
      <c r="B3" s="2" t="s">
        <v>111</v>
      </c>
      <c r="C3" s="2" t="s">
        <v>112</v>
      </c>
      <c r="D3" s="2" t="s">
        <v>113</v>
      </c>
      <c r="E3" s="2" t="s">
        <v>114</v>
      </c>
      <c r="F3" s="2" t="s">
        <v>115</v>
      </c>
      <c r="G3" s="2" t="s">
        <v>116</v>
      </c>
      <c r="H3" s="2" t="s">
        <v>117</v>
      </c>
      <c r="I3" s="2" t="s">
        <v>118</v>
      </c>
      <c r="J3" s="2" t="s">
        <v>119</v>
      </c>
      <c r="K3" s="2" t="s">
        <v>120</v>
      </c>
      <c r="L3" s="2" t="s">
        <v>121</v>
      </c>
      <c r="M3" s="2" t="s">
        <v>3</v>
      </c>
      <c r="N3" s="2" t="s">
        <v>122</v>
      </c>
      <c r="O3" s="2" t="s">
        <v>102</v>
      </c>
    </row>
    <row r="4" spans="1:15" x14ac:dyDescent="0.25">
      <c r="A4" s="30" t="s">
        <v>110</v>
      </c>
      <c r="B4" s="30" t="s">
        <v>20</v>
      </c>
      <c r="C4" s="5">
        <v>10</v>
      </c>
      <c r="D4" s="4" t="s">
        <v>123</v>
      </c>
      <c r="E4" s="4" t="s">
        <v>124</v>
      </c>
      <c r="F4" s="4" t="s">
        <v>125</v>
      </c>
      <c r="G4" s="4" t="s">
        <v>126</v>
      </c>
      <c r="H4" s="32">
        <v>4</v>
      </c>
      <c r="I4" s="32">
        <v>3</v>
      </c>
      <c r="J4" s="32">
        <v>5</v>
      </c>
      <c r="K4" s="32">
        <v>5</v>
      </c>
      <c r="L4" s="32">
        <v>4</v>
      </c>
      <c r="M4" s="4" t="s">
        <v>20</v>
      </c>
      <c r="N4" s="30" t="s">
        <v>122</v>
      </c>
      <c r="O4" s="30" t="s">
        <v>20</v>
      </c>
    </row>
    <row r="5" spans="1:15" x14ac:dyDescent="0.25">
      <c r="A5" s="30" t="s">
        <v>110</v>
      </c>
      <c r="B5" s="30" t="s">
        <v>20</v>
      </c>
      <c r="C5" s="5">
        <v>20</v>
      </c>
      <c r="D5" s="4" t="s">
        <v>127</v>
      </c>
      <c r="E5" s="4" t="s">
        <v>128</v>
      </c>
      <c r="F5" s="4" t="s">
        <v>129</v>
      </c>
      <c r="G5" s="4" t="s">
        <v>20</v>
      </c>
      <c r="H5" s="32">
        <v>2</v>
      </c>
      <c r="I5" s="32">
        <v>4</v>
      </c>
      <c r="J5" s="32">
        <v>6</v>
      </c>
      <c r="K5" s="32">
        <v>3</v>
      </c>
      <c r="L5" s="32">
        <v>4</v>
      </c>
      <c r="M5" s="4" t="s">
        <v>20</v>
      </c>
      <c r="N5" s="30" t="s">
        <v>122</v>
      </c>
      <c r="O5" s="30" t="s">
        <v>20</v>
      </c>
    </row>
    <row r="6" spans="1:15" x14ac:dyDescent="0.25">
      <c r="A6" s="30" t="s">
        <v>110</v>
      </c>
      <c r="B6" s="30" t="s">
        <v>20</v>
      </c>
      <c r="C6" s="5">
        <v>30</v>
      </c>
      <c r="D6" s="4" t="s">
        <v>130</v>
      </c>
      <c r="E6" s="4" t="s">
        <v>131</v>
      </c>
      <c r="F6" s="4" t="s">
        <v>132</v>
      </c>
      <c r="G6" s="4" t="s">
        <v>20</v>
      </c>
      <c r="H6" s="32">
        <v>5</v>
      </c>
      <c r="I6" s="32">
        <v>5</v>
      </c>
      <c r="J6" s="32">
        <v>8</v>
      </c>
      <c r="K6" s="32">
        <v>6</v>
      </c>
      <c r="L6" s="32">
        <v>6</v>
      </c>
      <c r="M6" s="4" t="s">
        <v>20</v>
      </c>
      <c r="N6" s="30" t="s">
        <v>122</v>
      </c>
      <c r="O6" s="30" t="s">
        <v>20</v>
      </c>
    </row>
    <row r="7" spans="1:15" x14ac:dyDescent="0.25">
      <c r="A7" s="30" t="s">
        <v>110</v>
      </c>
      <c r="B7" s="30" t="s">
        <v>20</v>
      </c>
      <c r="C7" s="5">
        <v>40</v>
      </c>
      <c r="D7" s="4" t="s">
        <v>133</v>
      </c>
      <c r="E7" s="4" t="s">
        <v>134</v>
      </c>
      <c r="F7" s="4" t="s">
        <v>135</v>
      </c>
      <c r="G7" s="4" t="s">
        <v>20</v>
      </c>
      <c r="H7" s="32">
        <v>1</v>
      </c>
      <c r="I7" s="32">
        <v>3</v>
      </c>
      <c r="J7" s="32">
        <v>7</v>
      </c>
      <c r="K7" s="32">
        <v>2</v>
      </c>
      <c r="L7" s="32">
        <v>5</v>
      </c>
      <c r="M7" s="4" t="s">
        <v>20</v>
      </c>
      <c r="N7" s="30" t="s">
        <v>122</v>
      </c>
      <c r="O7" s="30" t="s">
        <v>20</v>
      </c>
    </row>
    <row r="8" spans="1:15" x14ac:dyDescent="0.25">
      <c r="A8" s="30" t="s">
        <v>110</v>
      </c>
      <c r="B8" s="30" t="s">
        <v>20</v>
      </c>
      <c r="C8" s="5">
        <v>50</v>
      </c>
      <c r="D8" s="4" t="s">
        <v>136</v>
      </c>
      <c r="E8" s="4" t="s">
        <v>137</v>
      </c>
      <c r="F8" s="4" t="s">
        <v>138</v>
      </c>
      <c r="G8" s="4" t="s">
        <v>20</v>
      </c>
      <c r="H8" s="32">
        <v>6</v>
      </c>
      <c r="I8" s="32">
        <v>4</v>
      </c>
      <c r="J8" s="32">
        <v>5</v>
      </c>
      <c r="K8" s="32">
        <v>7</v>
      </c>
      <c r="L8" s="32">
        <v>5</v>
      </c>
      <c r="M8" s="4" t="s">
        <v>20</v>
      </c>
      <c r="N8" s="30" t="s">
        <v>122</v>
      </c>
      <c r="O8" s="30" t="s">
        <v>20</v>
      </c>
    </row>
    <row r="9" spans="1:15" x14ac:dyDescent="0.25">
      <c r="A9" s="30" t="s">
        <v>110</v>
      </c>
      <c r="B9" s="30" t="s">
        <v>20</v>
      </c>
      <c r="C9" s="5">
        <v>60</v>
      </c>
      <c r="D9" s="4" t="s">
        <v>139</v>
      </c>
      <c r="E9" s="4" t="s">
        <v>140</v>
      </c>
      <c r="F9" s="4" t="s">
        <v>141</v>
      </c>
      <c r="G9" s="4" t="s">
        <v>20</v>
      </c>
      <c r="H9" s="32">
        <v>0</v>
      </c>
      <c r="I9" s="32">
        <v>6</v>
      </c>
      <c r="J9" s="32">
        <v>10</v>
      </c>
      <c r="K9" s="32">
        <v>0</v>
      </c>
      <c r="L9" s="32">
        <v>7</v>
      </c>
      <c r="M9" s="4" t="s">
        <v>20</v>
      </c>
      <c r="N9" s="30" t="s">
        <v>122</v>
      </c>
      <c r="O9" s="30" t="s">
        <v>20</v>
      </c>
    </row>
    <row r="10" spans="1:15" x14ac:dyDescent="0.25">
      <c r="A10" s="30" t="s">
        <v>110</v>
      </c>
      <c r="B10" s="30" t="s">
        <v>20</v>
      </c>
      <c r="C10" s="5">
        <v>70</v>
      </c>
      <c r="D10" s="4" t="s">
        <v>142</v>
      </c>
      <c r="E10" s="4" t="s">
        <v>143</v>
      </c>
      <c r="F10" s="4" t="s">
        <v>144</v>
      </c>
      <c r="G10" s="4" t="s">
        <v>20</v>
      </c>
      <c r="H10" s="32">
        <v>2</v>
      </c>
      <c r="I10" s="32">
        <v>2</v>
      </c>
      <c r="J10" s="32">
        <v>6</v>
      </c>
      <c r="K10" s="32">
        <v>2</v>
      </c>
      <c r="L10" s="32">
        <v>5</v>
      </c>
      <c r="M10" s="4" t="s">
        <v>20</v>
      </c>
      <c r="N10" s="30" t="s">
        <v>122</v>
      </c>
      <c r="O10" s="30" t="s">
        <v>20</v>
      </c>
    </row>
    <row r="11" spans="1:15" x14ac:dyDescent="0.25">
      <c r="A11" s="30" t="s">
        <v>110</v>
      </c>
      <c r="B11" s="30" t="s">
        <v>20</v>
      </c>
      <c r="C11" s="5">
        <v>80</v>
      </c>
      <c r="D11" s="4" t="s">
        <v>145</v>
      </c>
      <c r="E11" s="4" t="s">
        <v>146</v>
      </c>
      <c r="F11" s="4" t="s">
        <v>147</v>
      </c>
      <c r="G11" s="4" t="s">
        <v>20</v>
      </c>
      <c r="H11" s="32">
        <v>8</v>
      </c>
      <c r="I11" s="32">
        <v>3</v>
      </c>
      <c r="J11" s="32">
        <v>2</v>
      </c>
      <c r="K11" s="32">
        <v>8</v>
      </c>
      <c r="L11" s="32">
        <v>5</v>
      </c>
      <c r="M11" s="4" t="s">
        <v>20</v>
      </c>
      <c r="N11" s="30" t="s">
        <v>122</v>
      </c>
      <c r="O11" s="30" t="s">
        <v>20</v>
      </c>
    </row>
    <row r="12" spans="1:15" x14ac:dyDescent="0.25">
      <c r="A12" s="30" t="s">
        <v>20</v>
      </c>
      <c r="B12" s="30" t="s">
        <v>20</v>
      </c>
      <c r="C12" s="5" t="s">
        <v>20</v>
      </c>
      <c r="D12" s="4" t="s">
        <v>20</v>
      </c>
      <c r="E12" s="4" t="s">
        <v>20</v>
      </c>
      <c r="F12" s="4" t="s">
        <v>20</v>
      </c>
      <c r="G12" s="4" t="s">
        <v>20</v>
      </c>
      <c r="H12" s="32" t="s">
        <v>20</v>
      </c>
      <c r="I12" s="32" t="s">
        <v>20</v>
      </c>
      <c r="J12" s="32" t="s">
        <v>20</v>
      </c>
      <c r="K12" s="32" t="s">
        <v>20</v>
      </c>
      <c r="L12" s="32" t="s">
        <v>20</v>
      </c>
      <c r="M12" s="4" t="s">
        <v>20</v>
      </c>
      <c r="N12" s="30" t="s">
        <v>20</v>
      </c>
      <c r="O12" s="30" t="s">
        <v>20</v>
      </c>
    </row>
    <row r="13" spans="1:15" x14ac:dyDescent="0.25">
      <c r="A13" s="30" t="s">
        <v>20</v>
      </c>
      <c r="B13" s="30" t="s">
        <v>20</v>
      </c>
      <c r="C13" s="5" t="s">
        <v>20</v>
      </c>
      <c r="D13" s="4" t="s">
        <v>20</v>
      </c>
      <c r="E13" s="4" t="s">
        <v>20</v>
      </c>
      <c r="F13" s="4" t="s">
        <v>20</v>
      </c>
      <c r="G13" s="4" t="s">
        <v>20</v>
      </c>
      <c r="H13" s="32" t="s">
        <v>20</v>
      </c>
      <c r="I13" s="32" t="s">
        <v>20</v>
      </c>
      <c r="J13" s="32" t="s">
        <v>20</v>
      </c>
      <c r="K13" s="32" t="s">
        <v>20</v>
      </c>
      <c r="L13" s="32" t="s">
        <v>20</v>
      </c>
      <c r="M13" s="4" t="s">
        <v>20</v>
      </c>
      <c r="N13" s="30" t="s">
        <v>20</v>
      </c>
      <c r="O13" s="30" t="s">
        <v>20</v>
      </c>
    </row>
    <row r="14" spans="1:15" x14ac:dyDescent="0.25">
      <c r="A14" s="30" t="s">
        <v>20</v>
      </c>
      <c r="B14" s="30" t="s">
        <v>20</v>
      </c>
      <c r="C14" s="5" t="s">
        <v>20</v>
      </c>
      <c r="D14" s="4" t="s">
        <v>20</v>
      </c>
      <c r="E14" s="4" t="s">
        <v>20</v>
      </c>
      <c r="F14" s="4" t="s">
        <v>20</v>
      </c>
      <c r="G14" s="4" t="s">
        <v>20</v>
      </c>
      <c r="H14" s="32" t="s">
        <v>20</v>
      </c>
      <c r="I14" s="32" t="s">
        <v>20</v>
      </c>
      <c r="J14" s="32" t="s">
        <v>20</v>
      </c>
      <c r="K14" s="32" t="s">
        <v>20</v>
      </c>
      <c r="L14" s="32" t="s">
        <v>20</v>
      </c>
      <c r="M14" s="4" t="s">
        <v>20</v>
      </c>
      <c r="N14" s="30" t="s">
        <v>20</v>
      </c>
      <c r="O14" s="30" t="s">
        <v>20</v>
      </c>
    </row>
    <row r="15" spans="1:15" x14ac:dyDescent="0.25">
      <c r="A15" s="30" t="s">
        <v>20</v>
      </c>
      <c r="B15" s="30" t="s">
        <v>20</v>
      </c>
      <c r="C15" s="5" t="s">
        <v>20</v>
      </c>
      <c r="D15" s="4" t="s">
        <v>20</v>
      </c>
      <c r="E15" s="4" t="s">
        <v>20</v>
      </c>
      <c r="F15" s="4" t="s">
        <v>20</v>
      </c>
      <c r="G15" s="4" t="s">
        <v>20</v>
      </c>
      <c r="H15" s="32" t="s">
        <v>20</v>
      </c>
      <c r="I15" s="32" t="s">
        <v>20</v>
      </c>
      <c r="J15" s="32" t="s">
        <v>20</v>
      </c>
      <c r="K15" s="32" t="s">
        <v>20</v>
      </c>
      <c r="L15" s="32" t="s">
        <v>20</v>
      </c>
      <c r="M15" s="4" t="s">
        <v>20</v>
      </c>
      <c r="N15" s="30" t="s">
        <v>20</v>
      </c>
      <c r="O15" s="30" t="s">
        <v>20</v>
      </c>
    </row>
    <row r="16" spans="1:15" x14ac:dyDescent="0.25">
      <c r="A16" s="30" t="s">
        <v>20</v>
      </c>
      <c r="B16" s="30" t="s">
        <v>20</v>
      </c>
      <c r="C16" s="5" t="s">
        <v>20</v>
      </c>
      <c r="D16" s="4" t="s">
        <v>20</v>
      </c>
      <c r="E16" s="4" t="s">
        <v>20</v>
      </c>
      <c r="F16" s="4" t="s">
        <v>20</v>
      </c>
      <c r="G16" s="4" t="s">
        <v>20</v>
      </c>
      <c r="H16" s="32" t="s">
        <v>20</v>
      </c>
      <c r="I16" s="32" t="s">
        <v>20</v>
      </c>
      <c r="J16" s="32" t="s">
        <v>20</v>
      </c>
      <c r="K16" s="32" t="s">
        <v>20</v>
      </c>
      <c r="L16" s="32" t="s">
        <v>20</v>
      </c>
      <c r="M16" s="4" t="s">
        <v>20</v>
      </c>
      <c r="N16" s="30" t="s">
        <v>20</v>
      </c>
      <c r="O16" s="30" t="s">
        <v>20</v>
      </c>
    </row>
    <row r="17" spans="1:15" x14ac:dyDescent="0.25">
      <c r="A17" s="30" t="s">
        <v>20</v>
      </c>
      <c r="B17" s="30" t="s">
        <v>20</v>
      </c>
      <c r="C17" s="5" t="s">
        <v>20</v>
      </c>
      <c r="D17" s="4" t="s">
        <v>20</v>
      </c>
      <c r="E17" s="4" t="s">
        <v>20</v>
      </c>
      <c r="F17" s="4" t="s">
        <v>20</v>
      </c>
      <c r="G17" s="4" t="s">
        <v>20</v>
      </c>
      <c r="H17" s="32" t="s">
        <v>20</v>
      </c>
      <c r="I17" s="32" t="s">
        <v>20</v>
      </c>
      <c r="J17" s="32" t="s">
        <v>20</v>
      </c>
      <c r="K17" s="32" t="s">
        <v>20</v>
      </c>
      <c r="L17" s="32" t="s">
        <v>20</v>
      </c>
      <c r="M17" s="4" t="s">
        <v>20</v>
      </c>
      <c r="N17" s="30" t="s">
        <v>20</v>
      </c>
      <c r="O17" s="30" t="s">
        <v>20</v>
      </c>
    </row>
    <row r="18" spans="1:15" x14ac:dyDescent="0.25">
      <c r="A18" s="30" t="s">
        <v>20</v>
      </c>
      <c r="B18" s="30" t="s">
        <v>20</v>
      </c>
      <c r="C18" s="5" t="s">
        <v>20</v>
      </c>
      <c r="D18" s="4" t="s">
        <v>20</v>
      </c>
      <c r="E18" s="4" t="s">
        <v>20</v>
      </c>
      <c r="F18" s="4" t="s">
        <v>20</v>
      </c>
      <c r="G18" s="4" t="s">
        <v>20</v>
      </c>
      <c r="H18" s="32" t="s">
        <v>20</v>
      </c>
      <c r="I18" s="32" t="s">
        <v>20</v>
      </c>
      <c r="J18" s="32" t="s">
        <v>20</v>
      </c>
      <c r="K18" s="32" t="s">
        <v>20</v>
      </c>
      <c r="L18" s="32" t="s">
        <v>20</v>
      </c>
      <c r="M18" s="4" t="s">
        <v>20</v>
      </c>
      <c r="N18" s="30" t="s">
        <v>20</v>
      </c>
      <c r="O18" s="30" t="s">
        <v>20</v>
      </c>
    </row>
    <row r="19" spans="1:15" x14ac:dyDescent="0.25">
      <c r="A19" s="30" t="s">
        <v>20</v>
      </c>
      <c r="B19" s="30" t="s">
        <v>20</v>
      </c>
      <c r="C19" s="5" t="s">
        <v>20</v>
      </c>
      <c r="D19" s="4" t="s">
        <v>20</v>
      </c>
      <c r="E19" s="4" t="s">
        <v>20</v>
      </c>
      <c r="F19" s="4" t="s">
        <v>20</v>
      </c>
      <c r="G19" s="4" t="s">
        <v>20</v>
      </c>
      <c r="H19" s="32" t="s">
        <v>20</v>
      </c>
      <c r="I19" s="32" t="s">
        <v>20</v>
      </c>
      <c r="J19" s="32" t="s">
        <v>20</v>
      </c>
      <c r="K19" s="32" t="s">
        <v>20</v>
      </c>
      <c r="L19" s="32" t="s">
        <v>20</v>
      </c>
      <c r="M19" s="4" t="s">
        <v>20</v>
      </c>
      <c r="N19" s="30" t="s">
        <v>20</v>
      </c>
      <c r="O19" s="30" t="s">
        <v>20</v>
      </c>
    </row>
    <row r="20" spans="1:15" x14ac:dyDescent="0.25">
      <c r="A20" s="30" t="s">
        <v>20</v>
      </c>
      <c r="B20" s="30" t="s">
        <v>20</v>
      </c>
      <c r="C20" s="5" t="s">
        <v>20</v>
      </c>
      <c r="D20" s="4" t="s">
        <v>20</v>
      </c>
      <c r="E20" s="4" t="s">
        <v>20</v>
      </c>
      <c r="F20" s="4" t="s">
        <v>20</v>
      </c>
      <c r="G20" s="4" t="s">
        <v>20</v>
      </c>
      <c r="H20" s="32" t="s">
        <v>20</v>
      </c>
      <c r="I20" s="32" t="s">
        <v>20</v>
      </c>
      <c r="J20" s="32" t="s">
        <v>20</v>
      </c>
      <c r="K20" s="32" t="s">
        <v>20</v>
      </c>
      <c r="L20" s="32" t="s">
        <v>20</v>
      </c>
      <c r="M20" s="4" t="s">
        <v>20</v>
      </c>
      <c r="N20" s="30" t="s">
        <v>20</v>
      </c>
      <c r="O20" s="30" t="s">
        <v>20</v>
      </c>
    </row>
    <row r="21" spans="1:15" x14ac:dyDescent="0.25">
      <c r="A21" s="30" t="s">
        <v>20</v>
      </c>
      <c r="B21" s="30" t="s">
        <v>20</v>
      </c>
      <c r="C21" s="5" t="s">
        <v>20</v>
      </c>
      <c r="D21" s="4" t="s">
        <v>20</v>
      </c>
      <c r="E21" s="4" t="s">
        <v>20</v>
      </c>
      <c r="F21" s="4" t="s">
        <v>20</v>
      </c>
      <c r="G21" s="4" t="s">
        <v>20</v>
      </c>
      <c r="H21" s="32" t="s">
        <v>20</v>
      </c>
      <c r="I21" s="32" t="s">
        <v>20</v>
      </c>
      <c r="J21" s="32" t="s">
        <v>20</v>
      </c>
      <c r="K21" s="32" t="s">
        <v>20</v>
      </c>
      <c r="L21" s="32" t="s">
        <v>20</v>
      </c>
      <c r="M21" s="4" t="s">
        <v>20</v>
      </c>
      <c r="N21" s="30" t="s">
        <v>20</v>
      </c>
      <c r="O21" s="30" t="s">
        <v>20</v>
      </c>
    </row>
    <row r="22" spans="1:15" x14ac:dyDescent="0.25">
      <c r="A22" s="30" t="s">
        <v>20</v>
      </c>
      <c r="B22" s="30" t="s">
        <v>20</v>
      </c>
      <c r="C22" s="5" t="s">
        <v>20</v>
      </c>
      <c r="D22" s="4" t="s">
        <v>20</v>
      </c>
      <c r="E22" s="4" t="s">
        <v>20</v>
      </c>
      <c r="F22" s="4" t="s">
        <v>20</v>
      </c>
      <c r="G22" s="4" t="s">
        <v>20</v>
      </c>
      <c r="H22" s="32" t="s">
        <v>20</v>
      </c>
      <c r="I22" s="32" t="s">
        <v>20</v>
      </c>
      <c r="J22" s="32" t="s">
        <v>20</v>
      </c>
      <c r="K22" s="32" t="s">
        <v>20</v>
      </c>
      <c r="L22" s="32" t="s">
        <v>20</v>
      </c>
      <c r="M22" s="4" t="s">
        <v>20</v>
      </c>
      <c r="N22" s="30" t="s">
        <v>20</v>
      </c>
      <c r="O22" s="30" t="s">
        <v>20</v>
      </c>
    </row>
    <row r="23" spans="1:15" x14ac:dyDescent="0.25">
      <c r="A23" s="30" t="s">
        <v>20</v>
      </c>
      <c r="B23" s="30" t="s">
        <v>20</v>
      </c>
      <c r="C23" s="5" t="s">
        <v>20</v>
      </c>
      <c r="D23" s="4" t="s">
        <v>20</v>
      </c>
      <c r="E23" s="4" t="s">
        <v>20</v>
      </c>
      <c r="F23" s="4" t="s">
        <v>20</v>
      </c>
      <c r="G23" s="4" t="s">
        <v>20</v>
      </c>
      <c r="H23" s="32" t="s">
        <v>20</v>
      </c>
      <c r="I23" s="32" t="s">
        <v>20</v>
      </c>
      <c r="J23" s="32" t="s">
        <v>20</v>
      </c>
      <c r="K23" s="32" t="s">
        <v>20</v>
      </c>
      <c r="L23" s="32" t="s">
        <v>20</v>
      </c>
      <c r="M23" s="4" t="s">
        <v>20</v>
      </c>
      <c r="N23" s="30" t="s">
        <v>20</v>
      </c>
      <c r="O23" s="30" t="s">
        <v>20</v>
      </c>
    </row>
    <row r="24" spans="1:15" x14ac:dyDescent="0.25">
      <c r="A24" s="30" t="s">
        <v>20</v>
      </c>
      <c r="B24" s="30" t="s">
        <v>20</v>
      </c>
      <c r="C24" s="5" t="s">
        <v>20</v>
      </c>
      <c r="D24" s="4" t="s">
        <v>20</v>
      </c>
      <c r="E24" s="4" t="s">
        <v>20</v>
      </c>
      <c r="F24" s="4" t="s">
        <v>20</v>
      </c>
      <c r="G24" s="4" t="s">
        <v>20</v>
      </c>
      <c r="H24" s="32" t="s">
        <v>20</v>
      </c>
      <c r="I24" s="32" t="s">
        <v>20</v>
      </c>
      <c r="J24" s="32" t="s">
        <v>20</v>
      </c>
      <c r="K24" s="32" t="s">
        <v>20</v>
      </c>
      <c r="L24" s="32" t="s">
        <v>20</v>
      </c>
      <c r="M24" s="4" t="s">
        <v>20</v>
      </c>
      <c r="N24" s="30" t="s">
        <v>20</v>
      </c>
      <c r="O24" s="30" t="s">
        <v>20</v>
      </c>
    </row>
    <row r="25" spans="1:15" x14ac:dyDescent="0.25">
      <c r="A25" s="30" t="s">
        <v>20</v>
      </c>
      <c r="B25" s="30" t="s">
        <v>20</v>
      </c>
      <c r="C25" s="5" t="s">
        <v>20</v>
      </c>
      <c r="D25" s="4" t="s">
        <v>20</v>
      </c>
      <c r="E25" s="4" t="s">
        <v>20</v>
      </c>
      <c r="F25" s="4" t="s">
        <v>20</v>
      </c>
      <c r="G25" s="4" t="s">
        <v>20</v>
      </c>
      <c r="H25" s="32" t="s">
        <v>20</v>
      </c>
      <c r="I25" s="32" t="s">
        <v>20</v>
      </c>
      <c r="J25" s="32" t="s">
        <v>20</v>
      </c>
      <c r="K25" s="32" t="s">
        <v>20</v>
      </c>
      <c r="L25" s="32" t="s">
        <v>20</v>
      </c>
      <c r="M25" s="4" t="s">
        <v>20</v>
      </c>
      <c r="N25" s="30" t="s">
        <v>20</v>
      </c>
      <c r="O25" s="30" t="s">
        <v>20</v>
      </c>
    </row>
    <row r="26" spans="1:15" x14ac:dyDescent="0.25">
      <c r="A26" s="30" t="s">
        <v>20</v>
      </c>
      <c r="B26" s="30" t="s">
        <v>20</v>
      </c>
      <c r="C26" s="5" t="s">
        <v>20</v>
      </c>
      <c r="D26" s="4" t="s">
        <v>20</v>
      </c>
      <c r="E26" s="4" t="s">
        <v>20</v>
      </c>
      <c r="F26" s="4" t="s">
        <v>20</v>
      </c>
      <c r="G26" s="4" t="s">
        <v>20</v>
      </c>
      <c r="H26" s="32" t="s">
        <v>20</v>
      </c>
      <c r="I26" s="32" t="s">
        <v>20</v>
      </c>
      <c r="J26" s="32" t="s">
        <v>20</v>
      </c>
      <c r="K26" s="32" t="s">
        <v>20</v>
      </c>
      <c r="L26" s="32" t="s">
        <v>20</v>
      </c>
      <c r="M26" s="4" t="s">
        <v>20</v>
      </c>
      <c r="N26" s="30" t="s">
        <v>20</v>
      </c>
      <c r="O26" s="30" t="s">
        <v>20</v>
      </c>
    </row>
    <row r="27" spans="1:15" x14ac:dyDescent="0.25">
      <c r="A27" s="30" t="s">
        <v>20</v>
      </c>
      <c r="B27" s="30" t="s">
        <v>20</v>
      </c>
      <c r="C27" s="5" t="s">
        <v>20</v>
      </c>
      <c r="D27" s="4" t="s">
        <v>20</v>
      </c>
      <c r="E27" s="4" t="s">
        <v>20</v>
      </c>
      <c r="F27" s="4" t="s">
        <v>20</v>
      </c>
      <c r="G27" s="4" t="s">
        <v>20</v>
      </c>
      <c r="H27" s="32" t="s">
        <v>20</v>
      </c>
      <c r="I27" s="32" t="s">
        <v>20</v>
      </c>
      <c r="J27" s="32" t="s">
        <v>20</v>
      </c>
      <c r="K27" s="32" t="s">
        <v>20</v>
      </c>
      <c r="L27" s="32" t="s">
        <v>20</v>
      </c>
      <c r="M27" s="4" t="s">
        <v>20</v>
      </c>
      <c r="N27" s="30" t="s">
        <v>20</v>
      </c>
      <c r="O27" s="30" t="s">
        <v>20</v>
      </c>
    </row>
    <row r="28" spans="1:15" x14ac:dyDescent="0.25">
      <c r="A28" s="30" t="s">
        <v>20</v>
      </c>
      <c r="B28" s="30" t="s">
        <v>20</v>
      </c>
      <c r="C28" s="5" t="s">
        <v>20</v>
      </c>
      <c r="D28" s="4" t="s">
        <v>20</v>
      </c>
      <c r="E28" s="4" t="s">
        <v>20</v>
      </c>
      <c r="F28" s="4" t="s">
        <v>20</v>
      </c>
      <c r="G28" s="4" t="s">
        <v>20</v>
      </c>
      <c r="H28" s="32" t="s">
        <v>20</v>
      </c>
      <c r="I28" s="32" t="s">
        <v>20</v>
      </c>
      <c r="J28" s="32" t="s">
        <v>20</v>
      </c>
      <c r="K28" s="32" t="s">
        <v>20</v>
      </c>
      <c r="L28" s="32" t="s">
        <v>20</v>
      </c>
      <c r="M28" s="4" t="s">
        <v>20</v>
      </c>
      <c r="N28" s="30" t="s">
        <v>20</v>
      </c>
      <c r="O28" s="30" t="s">
        <v>20</v>
      </c>
    </row>
    <row r="29" spans="1:15" x14ac:dyDescent="0.25">
      <c r="A29" s="30" t="s">
        <v>20</v>
      </c>
      <c r="B29" s="30" t="s">
        <v>20</v>
      </c>
      <c r="C29" s="5" t="s">
        <v>20</v>
      </c>
      <c r="D29" s="4" t="s">
        <v>20</v>
      </c>
      <c r="E29" s="4" t="s">
        <v>20</v>
      </c>
      <c r="F29" s="4" t="s">
        <v>20</v>
      </c>
      <c r="G29" s="4" t="s">
        <v>20</v>
      </c>
      <c r="H29" s="32" t="s">
        <v>20</v>
      </c>
      <c r="I29" s="32" t="s">
        <v>20</v>
      </c>
      <c r="J29" s="32" t="s">
        <v>20</v>
      </c>
      <c r="K29" s="32" t="s">
        <v>20</v>
      </c>
      <c r="L29" s="32" t="s">
        <v>20</v>
      </c>
      <c r="M29" s="4" t="s">
        <v>20</v>
      </c>
      <c r="N29" s="30" t="s">
        <v>20</v>
      </c>
      <c r="O29" s="30" t="s">
        <v>20</v>
      </c>
    </row>
    <row r="30" spans="1:15" x14ac:dyDescent="0.25">
      <c r="A30" s="30" t="s">
        <v>20</v>
      </c>
      <c r="B30" s="30" t="s">
        <v>20</v>
      </c>
      <c r="C30" s="5" t="s">
        <v>20</v>
      </c>
      <c r="D30" s="4" t="s">
        <v>20</v>
      </c>
      <c r="E30" s="4" t="s">
        <v>20</v>
      </c>
      <c r="F30" s="4" t="s">
        <v>20</v>
      </c>
      <c r="G30" s="4" t="s">
        <v>20</v>
      </c>
      <c r="H30" s="32" t="s">
        <v>20</v>
      </c>
      <c r="I30" s="32" t="s">
        <v>20</v>
      </c>
      <c r="J30" s="32" t="s">
        <v>20</v>
      </c>
      <c r="K30" s="32" t="s">
        <v>20</v>
      </c>
      <c r="L30" s="32" t="s">
        <v>20</v>
      </c>
      <c r="M30" s="4" t="s">
        <v>20</v>
      </c>
      <c r="N30" s="30" t="s">
        <v>20</v>
      </c>
      <c r="O30" s="30" t="s">
        <v>20</v>
      </c>
    </row>
    <row r="31" spans="1:15" x14ac:dyDescent="0.25">
      <c r="A31" s="30" t="s">
        <v>20</v>
      </c>
      <c r="B31" s="30" t="s">
        <v>20</v>
      </c>
      <c r="C31" s="5" t="s">
        <v>20</v>
      </c>
      <c r="D31" s="4" t="s">
        <v>20</v>
      </c>
      <c r="E31" s="4" t="s">
        <v>20</v>
      </c>
      <c r="F31" s="4" t="s">
        <v>20</v>
      </c>
      <c r="G31" s="4" t="s">
        <v>20</v>
      </c>
      <c r="H31" s="32" t="s">
        <v>20</v>
      </c>
      <c r="I31" s="32" t="s">
        <v>20</v>
      </c>
      <c r="J31" s="32" t="s">
        <v>20</v>
      </c>
      <c r="K31" s="32" t="s">
        <v>20</v>
      </c>
      <c r="L31" s="32" t="s">
        <v>20</v>
      </c>
      <c r="M31" s="4" t="s">
        <v>20</v>
      </c>
      <c r="N31" s="30" t="s">
        <v>20</v>
      </c>
      <c r="O31" s="30" t="s">
        <v>20</v>
      </c>
    </row>
    <row r="32" spans="1:15" x14ac:dyDescent="0.25">
      <c r="A32" s="30" t="s">
        <v>20</v>
      </c>
      <c r="B32" s="30" t="s">
        <v>20</v>
      </c>
      <c r="C32" s="5" t="s">
        <v>20</v>
      </c>
      <c r="D32" s="4" t="s">
        <v>20</v>
      </c>
      <c r="E32" s="4" t="s">
        <v>20</v>
      </c>
      <c r="F32" s="4" t="s">
        <v>20</v>
      </c>
      <c r="G32" s="4" t="s">
        <v>20</v>
      </c>
      <c r="H32" s="32" t="s">
        <v>20</v>
      </c>
      <c r="I32" s="32" t="s">
        <v>20</v>
      </c>
      <c r="J32" s="32" t="s">
        <v>20</v>
      </c>
      <c r="K32" s="32" t="s">
        <v>20</v>
      </c>
      <c r="L32" s="32" t="s">
        <v>20</v>
      </c>
      <c r="M32" s="4" t="s">
        <v>20</v>
      </c>
      <c r="N32" s="30" t="s">
        <v>20</v>
      </c>
      <c r="O32" s="30" t="s">
        <v>20</v>
      </c>
    </row>
    <row r="33" spans="1:15" x14ac:dyDescent="0.25">
      <c r="A33" s="30" t="s">
        <v>20</v>
      </c>
      <c r="B33" s="30" t="s">
        <v>20</v>
      </c>
      <c r="C33" s="5" t="s">
        <v>20</v>
      </c>
      <c r="D33" s="4" t="s">
        <v>20</v>
      </c>
      <c r="E33" s="4" t="s">
        <v>20</v>
      </c>
      <c r="F33" s="4" t="s">
        <v>20</v>
      </c>
      <c r="G33" s="4" t="s">
        <v>20</v>
      </c>
      <c r="H33" s="32" t="s">
        <v>20</v>
      </c>
      <c r="I33" s="32" t="s">
        <v>20</v>
      </c>
      <c r="J33" s="32" t="s">
        <v>20</v>
      </c>
      <c r="K33" s="32" t="s">
        <v>20</v>
      </c>
      <c r="L33" s="32" t="s">
        <v>20</v>
      </c>
      <c r="M33" s="4" t="s">
        <v>20</v>
      </c>
      <c r="N33" s="30" t="s">
        <v>20</v>
      </c>
      <c r="O33" s="30" t="s">
        <v>20</v>
      </c>
    </row>
    <row r="34" spans="1:15" x14ac:dyDescent="0.25">
      <c r="A34" s="30" t="s">
        <v>20</v>
      </c>
      <c r="B34" s="30" t="s">
        <v>20</v>
      </c>
      <c r="C34" s="5" t="s">
        <v>20</v>
      </c>
      <c r="D34" s="4" t="s">
        <v>20</v>
      </c>
      <c r="E34" s="4" t="s">
        <v>20</v>
      </c>
      <c r="F34" s="4" t="s">
        <v>20</v>
      </c>
      <c r="G34" s="4" t="s">
        <v>20</v>
      </c>
      <c r="H34" s="32" t="s">
        <v>20</v>
      </c>
      <c r="I34" s="32" t="s">
        <v>20</v>
      </c>
      <c r="J34" s="32" t="s">
        <v>20</v>
      </c>
      <c r="K34" s="32" t="s">
        <v>20</v>
      </c>
      <c r="L34" s="32" t="s">
        <v>20</v>
      </c>
      <c r="M34" s="4" t="s">
        <v>20</v>
      </c>
      <c r="N34" s="30" t="s">
        <v>20</v>
      </c>
      <c r="O34" s="30" t="s">
        <v>20</v>
      </c>
    </row>
    <row r="35" spans="1:15" x14ac:dyDescent="0.25">
      <c r="A35" s="30" t="s">
        <v>20</v>
      </c>
      <c r="B35" s="30" t="s">
        <v>20</v>
      </c>
      <c r="C35" s="5" t="s">
        <v>20</v>
      </c>
      <c r="D35" s="4" t="s">
        <v>20</v>
      </c>
      <c r="E35" s="4" t="s">
        <v>20</v>
      </c>
      <c r="F35" s="4" t="s">
        <v>20</v>
      </c>
      <c r="G35" s="4" t="s">
        <v>20</v>
      </c>
      <c r="H35" s="32" t="s">
        <v>20</v>
      </c>
      <c r="I35" s="32" t="s">
        <v>20</v>
      </c>
      <c r="J35" s="32" t="s">
        <v>20</v>
      </c>
      <c r="K35" s="32" t="s">
        <v>20</v>
      </c>
      <c r="L35" s="32" t="s">
        <v>20</v>
      </c>
      <c r="M35" s="4" t="s">
        <v>20</v>
      </c>
      <c r="N35" s="30" t="s">
        <v>20</v>
      </c>
      <c r="O35" s="30" t="s">
        <v>20</v>
      </c>
    </row>
    <row r="36" spans="1:15" x14ac:dyDescent="0.25">
      <c r="A36" s="30" t="s">
        <v>20</v>
      </c>
      <c r="B36" s="30" t="s">
        <v>20</v>
      </c>
      <c r="C36" s="5" t="s">
        <v>20</v>
      </c>
      <c r="D36" s="4" t="s">
        <v>20</v>
      </c>
      <c r="E36" s="4" t="s">
        <v>20</v>
      </c>
      <c r="F36" s="4" t="s">
        <v>20</v>
      </c>
      <c r="G36" s="4" t="s">
        <v>20</v>
      </c>
      <c r="H36" s="32" t="s">
        <v>20</v>
      </c>
      <c r="I36" s="32" t="s">
        <v>20</v>
      </c>
      <c r="J36" s="32" t="s">
        <v>20</v>
      </c>
      <c r="K36" s="32" t="s">
        <v>20</v>
      </c>
      <c r="L36" s="32" t="s">
        <v>20</v>
      </c>
      <c r="M36" s="4" t="s">
        <v>20</v>
      </c>
      <c r="N36" s="30" t="s">
        <v>20</v>
      </c>
      <c r="O36" s="30" t="s">
        <v>20</v>
      </c>
    </row>
    <row r="37" spans="1:15" x14ac:dyDescent="0.25">
      <c r="A37" s="30" t="s">
        <v>20</v>
      </c>
      <c r="B37" s="30" t="s">
        <v>20</v>
      </c>
      <c r="C37" s="5" t="s">
        <v>20</v>
      </c>
      <c r="D37" s="4" t="s">
        <v>20</v>
      </c>
      <c r="E37" s="4" t="s">
        <v>20</v>
      </c>
      <c r="F37" s="4" t="s">
        <v>20</v>
      </c>
      <c r="G37" s="4" t="s">
        <v>20</v>
      </c>
      <c r="H37" s="32" t="s">
        <v>20</v>
      </c>
      <c r="I37" s="32" t="s">
        <v>20</v>
      </c>
      <c r="J37" s="32" t="s">
        <v>20</v>
      </c>
      <c r="K37" s="32" t="s">
        <v>20</v>
      </c>
      <c r="L37" s="32" t="s">
        <v>20</v>
      </c>
      <c r="M37" s="4" t="s">
        <v>20</v>
      </c>
      <c r="N37" s="30" t="s">
        <v>20</v>
      </c>
      <c r="O37" s="30" t="s">
        <v>20</v>
      </c>
    </row>
    <row r="38" spans="1:15" x14ac:dyDescent="0.25">
      <c r="A38" s="30" t="s">
        <v>20</v>
      </c>
      <c r="B38" s="30" t="s">
        <v>20</v>
      </c>
      <c r="C38" s="5" t="s">
        <v>20</v>
      </c>
      <c r="D38" s="4" t="s">
        <v>20</v>
      </c>
      <c r="E38" s="4" t="s">
        <v>20</v>
      </c>
      <c r="F38" s="4" t="s">
        <v>20</v>
      </c>
      <c r="G38" s="4" t="s">
        <v>20</v>
      </c>
      <c r="H38" s="32" t="s">
        <v>20</v>
      </c>
      <c r="I38" s="32" t="s">
        <v>20</v>
      </c>
      <c r="J38" s="32" t="s">
        <v>20</v>
      </c>
      <c r="K38" s="32" t="s">
        <v>20</v>
      </c>
      <c r="L38" s="32" t="s">
        <v>20</v>
      </c>
      <c r="M38" s="4" t="s">
        <v>20</v>
      </c>
      <c r="N38" s="30" t="s">
        <v>20</v>
      </c>
      <c r="O38" s="30" t="s">
        <v>20</v>
      </c>
    </row>
    <row r="39" spans="1:15" x14ac:dyDescent="0.25">
      <c r="A39" s="30" t="s">
        <v>20</v>
      </c>
      <c r="B39" s="30" t="s">
        <v>20</v>
      </c>
      <c r="C39" s="5" t="s">
        <v>20</v>
      </c>
      <c r="D39" s="4" t="s">
        <v>20</v>
      </c>
      <c r="E39" s="4" t="s">
        <v>20</v>
      </c>
      <c r="F39" s="4" t="s">
        <v>20</v>
      </c>
      <c r="G39" s="4" t="s">
        <v>20</v>
      </c>
      <c r="H39" s="32" t="s">
        <v>20</v>
      </c>
      <c r="I39" s="32" t="s">
        <v>20</v>
      </c>
      <c r="J39" s="32" t="s">
        <v>20</v>
      </c>
      <c r="K39" s="32" t="s">
        <v>20</v>
      </c>
      <c r="L39" s="32" t="s">
        <v>20</v>
      </c>
      <c r="M39" s="4" t="s">
        <v>20</v>
      </c>
      <c r="N39" s="30" t="s">
        <v>20</v>
      </c>
      <c r="O39" s="30" t="s">
        <v>20</v>
      </c>
    </row>
    <row r="40" spans="1:15" x14ac:dyDescent="0.25">
      <c r="A40" s="30" t="s">
        <v>20</v>
      </c>
      <c r="B40" s="30" t="s">
        <v>20</v>
      </c>
      <c r="C40" s="5" t="s">
        <v>20</v>
      </c>
      <c r="D40" s="4" t="s">
        <v>20</v>
      </c>
      <c r="E40" s="4" t="s">
        <v>20</v>
      </c>
      <c r="F40" s="4" t="s">
        <v>20</v>
      </c>
      <c r="G40" s="4" t="s">
        <v>20</v>
      </c>
      <c r="H40" s="32" t="s">
        <v>20</v>
      </c>
      <c r="I40" s="32" t="s">
        <v>20</v>
      </c>
      <c r="J40" s="32" t="s">
        <v>20</v>
      </c>
      <c r="K40" s="32" t="s">
        <v>20</v>
      </c>
      <c r="L40" s="32" t="s">
        <v>20</v>
      </c>
      <c r="M40" s="4" t="s">
        <v>20</v>
      </c>
      <c r="N40" s="30" t="s">
        <v>20</v>
      </c>
      <c r="O40" s="30" t="s">
        <v>20</v>
      </c>
    </row>
    <row r="41" spans="1:15" x14ac:dyDescent="0.25">
      <c r="A41" s="30" t="s">
        <v>20</v>
      </c>
      <c r="B41" s="30" t="s">
        <v>20</v>
      </c>
      <c r="C41" s="5" t="s">
        <v>20</v>
      </c>
      <c r="D41" s="4" t="s">
        <v>20</v>
      </c>
      <c r="E41" s="4" t="s">
        <v>20</v>
      </c>
      <c r="F41" s="4" t="s">
        <v>20</v>
      </c>
      <c r="G41" s="4" t="s">
        <v>20</v>
      </c>
      <c r="H41" s="32" t="s">
        <v>20</v>
      </c>
      <c r="I41" s="32" t="s">
        <v>20</v>
      </c>
      <c r="J41" s="32" t="s">
        <v>20</v>
      </c>
      <c r="K41" s="32" t="s">
        <v>20</v>
      </c>
      <c r="L41" s="32" t="s">
        <v>20</v>
      </c>
      <c r="M41" s="4" t="s">
        <v>20</v>
      </c>
      <c r="N41" s="30" t="s">
        <v>20</v>
      </c>
      <c r="O41" s="30" t="s">
        <v>20</v>
      </c>
    </row>
    <row r="42" spans="1:15" x14ac:dyDescent="0.25">
      <c r="A42" s="30" t="s">
        <v>20</v>
      </c>
      <c r="B42" s="30" t="s">
        <v>20</v>
      </c>
      <c r="C42" s="5" t="s">
        <v>20</v>
      </c>
      <c r="D42" s="4" t="s">
        <v>20</v>
      </c>
      <c r="E42" s="4" t="s">
        <v>20</v>
      </c>
      <c r="F42" s="4" t="s">
        <v>20</v>
      </c>
      <c r="G42" s="4" t="s">
        <v>20</v>
      </c>
      <c r="H42" s="32" t="s">
        <v>20</v>
      </c>
      <c r="I42" s="32" t="s">
        <v>20</v>
      </c>
      <c r="J42" s="32" t="s">
        <v>20</v>
      </c>
      <c r="K42" s="32" t="s">
        <v>20</v>
      </c>
      <c r="L42" s="32" t="s">
        <v>20</v>
      </c>
      <c r="M42" s="4" t="s">
        <v>20</v>
      </c>
      <c r="N42" s="30" t="s">
        <v>20</v>
      </c>
      <c r="O42" s="30" t="s">
        <v>20</v>
      </c>
    </row>
    <row r="43" spans="1:15" x14ac:dyDescent="0.25">
      <c r="A43" s="30" t="s">
        <v>20</v>
      </c>
      <c r="B43" s="30" t="s">
        <v>20</v>
      </c>
      <c r="C43" s="5" t="s">
        <v>20</v>
      </c>
      <c r="D43" s="4" t="s">
        <v>20</v>
      </c>
      <c r="E43" s="4" t="s">
        <v>20</v>
      </c>
      <c r="F43" s="4" t="s">
        <v>20</v>
      </c>
      <c r="G43" s="4" t="s">
        <v>20</v>
      </c>
      <c r="H43" s="32" t="s">
        <v>20</v>
      </c>
      <c r="I43" s="32" t="s">
        <v>20</v>
      </c>
      <c r="J43" s="32" t="s">
        <v>20</v>
      </c>
      <c r="K43" s="32" t="s">
        <v>20</v>
      </c>
      <c r="L43" s="32" t="s">
        <v>20</v>
      </c>
      <c r="M43" s="4" t="s">
        <v>20</v>
      </c>
      <c r="N43" s="30" t="s">
        <v>20</v>
      </c>
      <c r="O43" s="30" t="s">
        <v>20</v>
      </c>
    </row>
    <row r="44" spans="1:15" x14ac:dyDescent="0.25">
      <c r="A44" s="30" t="s">
        <v>20</v>
      </c>
      <c r="B44" s="30" t="s">
        <v>20</v>
      </c>
      <c r="C44" s="5" t="s">
        <v>20</v>
      </c>
      <c r="D44" s="4" t="s">
        <v>20</v>
      </c>
      <c r="E44" s="4" t="s">
        <v>20</v>
      </c>
      <c r="F44" s="4" t="s">
        <v>20</v>
      </c>
      <c r="G44" s="4" t="s">
        <v>20</v>
      </c>
      <c r="H44" s="32" t="s">
        <v>20</v>
      </c>
      <c r="I44" s="32" t="s">
        <v>20</v>
      </c>
      <c r="J44" s="32" t="s">
        <v>20</v>
      </c>
      <c r="K44" s="32" t="s">
        <v>20</v>
      </c>
      <c r="L44" s="32" t="s">
        <v>20</v>
      </c>
      <c r="M44" s="4" t="s">
        <v>20</v>
      </c>
      <c r="N44" s="30" t="s">
        <v>20</v>
      </c>
      <c r="O44" s="30" t="s">
        <v>20</v>
      </c>
    </row>
    <row r="45" spans="1:15" x14ac:dyDescent="0.25">
      <c r="A45" s="30" t="s">
        <v>20</v>
      </c>
      <c r="B45" s="30" t="s">
        <v>20</v>
      </c>
      <c r="C45" s="5" t="s">
        <v>20</v>
      </c>
      <c r="D45" s="4" t="s">
        <v>20</v>
      </c>
      <c r="E45" s="4" t="s">
        <v>20</v>
      </c>
      <c r="F45" s="4" t="s">
        <v>20</v>
      </c>
      <c r="G45" s="4" t="s">
        <v>20</v>
      </c>
      <c r="H45" s="32" t="s">
        <v>20</v>
      </c>
      <c r="I45" s="32" t="s">
        <v>20</v>
      </c>
      <c r="J45" s="32" t="s">
        <v>20</v>
      </c>
      <c r="K45" s="32" t="s">
        <v>20</v>
      </c>
      <c r="L45" s="32" t="s">
        <v>20</v>
      </c>
      <c r="M45" s="4" t="s">
        <v>20</v>
      </c>
      <c r="N45" s="30" t="s">
        <v>20</v>
      </c>
      <c r="O45" s="30" t="s">
        <v>20</v>
      </c>
    </row>
    <row r="46" spans="1:15" x14ac:dyDescent="0.25">
      <c r="A46" s="30" t="s">
        <v>20</v>
      </c>
      <c r="B46" s="30" t="s">
        <v>20</v>
      </c>
      <c r="C46" s="5" t="s">
        <v>20</v>
      </c>
      <c r="D46" s="4" t="s">
        <v>20</v>
      </c>
      <c r="E46" s="4" t="s">
        <v>20</v>
      </c>
      <c r="F46" s="4" t="s">
        <v>20</v>
      </c>
      <c r="G46" s="4" t="s">
        <v>20</v>
      </c>
      <c r="H46" s="32" t="s">
        <v>20</v>
      </c>
      <c r="I46" s="32" t="s">
        <v>20</v>
      </c>
      <c r="J46" s="32" t="s">
        <v>20</v>
      </c>
      <c r="K46" s="32" t="s">
        <v>20</v>
      </c>
      <c r="L46" s="32" t="s">
        <v>20</v>
      </c>
      <c r="M46" s="4" t="s">
        <v>20</v>
      </c>
      <c r="N46" s="30" t="s">
        <v>20</v>
      </c>
      <c r="O46" s="30" t="s">
        <v>20</v>
      </c>
    </row>
    <row r="47" spans="1:15" x14ac:dyDescent="0.25">
      <c r="A47" s="30" t="s">
        <v>20</v>
      </c>
      <c r="B47" s="30" t="s">
        <v>20</v>
      </c>
      <c r="C47" s="5" t="s">
        <v>20</v>
      </c>
      <c r="D47" s="4" t="s">
        <v>20</v>
      </c>
      <c r="E47" s="4" t="s">
        <v>20</v>
      </c>
      <c r="F47" s="4" t="s">
        <v>20</v>
      </c>
      <c r="G47" s="4" t="s">
        <v>20</v>
      </c>
      <c r="H47" s="32" t="s">
        <v>20</v>
      </c>
      <c r="I47" s="32" t="s">
        <v>20</v>
      </c>
      <c r="J47" s="32" t="s">
        <v>20</v>
      </c>
      <c r="K47" s="32" t="s">
        <v>20</v>
      </c>
      <c r="L47" s="32" t="s">
        <v>20</v>
      </c>
      <c r="M47" s="4" t="s">
        <v>20</v>
      </c>
      <c r="N47" s="30" t="s">
        <v>20</v>
      </c>
      <c r="O47" s="30" t="s">
        <v>20</v>
      </c>
    </row>
    <row r="48" spans="1:15" x14ac:dyDescent="0.25">
      <c r="A48" s="30" t="s">
        <v>20</v>
      </c>
      <c r="B48" s="30" t="s">
        <v>20</v>
      </c>
      <c r="C48" s="5" t="s">
        <v>20</v>
      </c>
      <c r="D48" s="4" t="s">
        <v>20</v>
      </c>
      <c r="E48" s="4" t="s">
        <v>20</v>
      </c>
      <c r="F48" s="4" t="s">
        <v>20</v>
      </c>
      <c r="G48" s="4" t="s">
        <v>20</v>
      </c>
      <c r="H48" s="32" t="s">
        <v>20</v>
      </c>
      <c r="I48" s="32" t="s">
        <v>20</v>
      </c>
      <c r="J48" s="32" t="s">
        <v>20</v>
      </c>
      <c r="K48" s="32" t="s">
        <v>20</v>
      </c>
      <c r="L48" s="32" t="s">
        <v>20</v>
      </c>
      <c r="M48" s="4" t="s">
        <v>20</v>
      </c>
      <c r="N48" s="30" t="s">
        <v>20</v>
      </c>
      <c r="O48" s="30" t="s">
        <v>20</v>
      </c>
    </row>
    <row r="49" spans="1:15" x14ac:dyDescent="0.25">
      <c r="A49" s="30" t="s">
        <v>20</v>
      </c>
      <c r="B49" s="30" t="s">
        <v>20</v>
      </c>
      <c r="C49" s="5" t="s">
        <v>20</v>
      </c>
      <c r="D49" s="4" t="s">
        <v>20</v>
      </c>
      <c r="E49" s="4" t="s">
        <v>20</v>
      </c>
      <c r="F49" s="4" t="s">
        <v>20</v>
      </c>
      <c r="G49" s="4" t="s">
        <v>20</v>
      </c>
      <c r="H49" s="32" t="s">
        <v>20</v>
      </c>
      <c r="I49" s="32" t="s">
        <v>20</v>
      </c>
      <c r="J49" s="32" t="s">
        <v>20</v>
      </c>
      <c r="K49" s="32" t="s">
        <v>20</v>
      </c>
      <c r="L49" s="32" t="s">
        <v>20</v>
      </c>
      <c r="M49" s="4" t="s">
        <v>20</v>
      </c>
      <c r="N49" s="30" t="s">
        <v>20</v>
      </c>
      <c r="O49" s="30" t="s">
        <v>20</v>
      </c>
    </row>
    <row r="50" spans="1:15" x14ac:dyDescent="0.25">
      <c r="A50" s="30" t="s">
        <v>20</v>
      </c>
      <c r="B50" s="30" t="s">
        <v>20</v>
      </c>
      <c r="C50" s="5" t="s">
        <v>20</v>
      </c>
      <c r="D50" s="4" t="s">
        <v>20</v>
      </c>
      <c r="E50" s="4" t="s">
        <v>20</v>
      </c>
      <c r="F50" s="4" t="s">
        <v>20</v>
      </c>
      <c r="G50" s="4" t="s">
        <v>20</v>
      </c>
      <c r="H50" s="32" t="s">
        <v>20</v>
      </c>
      <c r="I50" s="32" t="s">
        <v>20</v>
      </c>
      <c r="J50" s="32" t="s">
        <v>20</v>
      </c>
      <c r="K50" s="32" t="s">
        <v>20</v>
      </c>
      <c r="L50" s="32" t="s">
        <v>20</v>
      </c>
      <c r="M50" s="4" t="s">
        <v>20</v>
      </c>
      <c r="N50" s="30" t="s">
        <v>20</v>
      </c>
      <c r="O50" s="30" t="s">
        <v>20</v>
      </c>
    </row>
    <row r="51" spans="1:15" x14ac:dyDescent="0.25">
      <c r="A51" s="30" t="s">
        <v>20</v>
      </c>
      <c r="B51" s="30" t="s">
        <v>20</v>
      </c>
      <c r="C51" s="5" t="s">
        <v>20</v>
      </c>
      <c r="D51" s="4" t="s">
        <v>20</v>
      </c>
      <c r="E51" s="4" t="s">
        <v>20</v>
      </c>
      <c r="F51" s="4" t="s">
        <v>20</v>
      </c>
      <c r="G51" s="4" t="s">
        <v>20</v>
      </c>
      <c r="H51" s="32" t="s">
        <v>20</v>
      </c>
      <c r="I51" s="32" t="s">
        <v>20</v>
      </c>
      <c r="J51" s="32" t="s">
        <v>20</v>
      </c>
      <c r="K51" s="32" t="s">
        <v>20</v>
      </c>
      <c r="L51" s="32" t="s">
        <v>20</v>
      </c>
      <c r="M51" s="4" t="s">
        <v>20</v>
      </c>
      <c r="N51" s="30" t="s">
        <v>20</v>
      </c>
      <c r="O51" s="30" t="s">
        <v>20</v>
      </c>
    </row>
    <row r="52" spans="1:15" x14ac:dyDescent="0.25">
      <c r="A52" s="30" t="s">
        <v>20</v>
      </c>
      <c r="B52" s="30" t="s">
        <v>20</v>
      </c>
      <c r="C52" s="5" t="s">
        <v>20</v>
      </c>
      <c r="D52" s="4" t="s">
        <v>20</v>
      </c>
      <c r="E52" s="4" t="s">
        <v>20</v>
      </c>
      <c r="F52" s="4" t="s">
        <v>20</v>
      </c>
      <c r="G52" s="4" t="s">
        <v>20</v>
      </c>
      <c r="H52" s="32" t="s">
        <v>20</v>
      </c>
      <c r="I52" s="32" t="s">
        <v>20</v>
      </c>
      <c r="J52" s="32" t="s">
        <v>20</v>
      </c>
      <c r="K52" s="32" t="s">
        <v>20</v>
      </c>
      <c r="L52" s="32" t="s">
        <v>20</v>
      </c>
      <c r="M52" s="4" t="s">
        <v>20</v>
      </c>
      <c r="N52" s="30" t="s">
        <v>20</v>
      </c>
      <c r="O52" s="30" t="s">
        <v>20</v>
      </c>
    </row>
    <row r="53" spans="1:15" x14ac:dyDescent="0.25">
      <c r="A53" s="30" t="s">
        <v>20</v>
      </c>
      <c r="B53" s="30" t="s">
        <v>20</v>
      </c>
      <c r="C53" s="5" t="s">
        <v>20</v>
      </c>
      <c r="D53" s="4" t="s">
        <v>20</v>
      </c>
      <c r="E53" s="4" t="s">
        <v>20</v>
      </c>
      <c r="F53" s="4" t="s">
        <v>20</v>
      </c>
      <c r="G53" s="4" t="s">
        <v>20</v>
      </c>
      <c r="H53" s="32" t="s">
        <v>20</v>
      </c>
      <c r="I53" s="32" t="s">
        <v>20</v>
      </c>
      <c r="J53" s="32" t="s">
        <v>20</v>
      </c>
      <c r="K53" s="32" t="s">
        <v>20</v>
      </c>
      <c r="L53" s="32" t="s">
        <v>20</v>
      </c>
      <c r="M53" s="4" t="s">
        <v>20</v>
      </c>
      <c r="N53" s="30" t="s">
        <v>20</v>
      </c>
      <c r="O53" s="30" t="s">
        <v>20</v>
      </c>
    </row>
    <row r="54" spans="1:15" x14ac:dyDescent="0.25">
      <c r="A54" s="30" t="s">
        <v>20</v>
      </c>
      <c r="B54" s="30" t="s">
        <v>20</v>
      </c>
      <c r="C54" s="5" t="s">
        <v>20</v>
      </c>
      <c r="D54" s="4" t="s">
        <v>20</v>
      </c>
      <c r="E54" s="4" t="s">
        <v>20</v>
      </c>
      <c r="F54" s="4" t="s">
        <v>20</v>
      </c>
      <c r="G54" s="4" t="s">
        <v>20</v>
      </c>
      <c r="H54" s="32" t="s">
        <v>20</v>
      </c>
      <c r="I54" s="32" t="s">
        <v>20</v>
      </c>
      <c r="J54" s="32" t="s">
        <v>20</v>
      </c>
      <c r="K54" s="32" t="s">
        <v>20</v>
      </c>
      <c r="L54" s="32" t="s">
        <v>20</v>
      </c>
      <c r="M54" s="4" t="s">
        <v>20</v>
      </c>
      <c r="N54" s="30" t="s">
        <v>20</v>
      </c>
      <c r="O54" s="30" t="s">
        <v>20</v>
      </c>
    </row>
    <row r="55" spans="1:15" x14ac:dyDescent="0.25">
      <c r="A55" s="30" t="s">
        <v>20</v>
      </c>
      <c r="B55" s="30" t="s">
        <v>20</v>
      </c>
      <c r="C55" s="5" t="s">
        <v>20</v>
      </c>
      <c r="D55" s="4" t="s">
        <v>20</v>
      </c>
      <c r="E55" s="4" t="s">
        <v>20</v>
      </c>
      <c r="F55" s="4" t="s">
        <v>20</v>
      </c>
      <c r="G55" s="4" t="s">
        <v>20</v>
      </c>
      <c r="H55" s="32" t="s">
        <v>20</v>
      </c>
      <c r="I55" s="32" t="s">
        <v>20</v>
      </c>
      <c r="J55" s="32" t="s">
        <v>20</v>
      </c>
      <c r="K55" s="32" t="s">
        <v>20</v>
      </c>
      <c r="L55" s="32" t="s">
        <v>20</v>
      </c>
      <c r="M55" s="4" t="s">
        <v>20</v>
      </c>
      <c r="N55" s="30" t="s">
        <v>20</v>
      </c>
      <c r="O55" s="30" t="s">
        <v>20</v>
      </c>
    </row>
    <row r="56" spans="1:15" x14ac:dyDescent="0.25">
      <c r="A56" s="30" t="s">
        <v>20</v>
      </c>
      <c r="B56" s="30" t="s">
        <v>20</v>
      </c>
      <c r="C56" s="5" t="s">
        <v>20</v>
      </c>
      <c r="D56" s="4" t="s">
        <v>20</v>
      </c>
      <c r="E56" s="4" t="s">
        <v>20</v>
      </c>
      <c r="F56" s="4" t="s">
        <v>20</v>
      </c>
      <c r="G56" s="4" t="s">
        <v>20</v>
      </c>
      <c r="H56" s="32" t="s">
        <v>20</v>
      </c>
      <c r="I56" s="32" t="s">
        <v>20</v>
      </c>
      <c r="J56" s="32" t="s">
        <v>20</v>
      </c>
      <c r="K56" s="32" t="s">
        <v>20</v>
      </c>
      <c r="L56" s="32" t="s">
        <v>20</v>
      </c>
      <c r="M56" s="4" t="s">
        <v>20</v>
      </c>
      <c r="N56" s="30" t="s">
        <v>20</v>
      </c>
      <c r="O56" s="30" t="s">
        <v>20</v>
      </c>
    </row>
    <row r="57" spans="1:15" x14ac:dyDescent="0.25">
      <c r="A57" s="30" t="s">
        <v>20</v>
      </c>
      <c r="B57" s="30" t="s">
        <v>20</v>
      </c>
      <c r="C57" s="5" t="s">
        <v>20</v>
      </c>
      <c r="D57" s="4" t="s">
        <v>20</v>
      </c>
      <c r="E57" s="4" t="s">
        <v>20</v>
      </c>
      <c r="F57" s="4" t="s">
        <v>20</v>
      </c>
      <c r="G57" s="4" t="s">
        <v>20</v>
      </c>
      <c r="H57" s="32" t="s">
        <v>20</v>
      </c>
      <c r="I57" s="32" t="s">
        <v>20</v>
      </c>
      <c r="J57" s="32" t="s">
        <v>20</v>
      </c>
      <c r="K57" s="32" t="s">
        <v>20</v>
      </c>
      <c r="L57" s="32" t="s">
        <v>20</v>
      </c>
      <c r="M57" s="4" t="s">
        <v>20</v>
      </c>
      <c r="N57" s="30" t="s">
        <v>20</v>
      </c>
      <c r="O57" s="30" t="s">
        <v>20</v>
      </c>
    </row>
    <row r="58" spans="1:15" x14ac:dyDescent="0.25">
      <c r="A58" s="30" t="s">
        <v>20</v>
      </c>
      <c r="B58" s="30" t="s">
        <v>20</v>
      </c>
      <c r="C58" s="5" t="s">
        <v>20</v>
      </c>
      <c r="D58" s="4" t="s">
        <v>20</v>
      </c>
      <c r="E58" s="4" t="s">
        <v>20</v>
      </c>
      <c r="F58" s="4" t="s">
        <v>20</v>
      </c>
      <c r="G58" s="4" t="s">
        <v>20</v>
      </c>
      <c r="H58" s="32" t="s">
        <v>20</v>
      </c>
      <c r="I58" s="32" t="s">
        <v>20</v>
      </c>
      <c r="J58" s="32" t="s">
        <v>20</v>
      </c>
      <c r="K58" s="32" t="s">
        <v>20</v>
      </c>
      <c r="L58" s="32" t="s">
        <v>20</v>
      </c>
      <c r="M58" s="4" t="s">
        <v>20</v>
      </c>
      <c r="N58" s="30" t="s">
        <v>20</v>
      </c>
      <c r="O58" s="30" t="s">
        <v>20</v>
      </c>
    </row>
    <row r="59" spans="1:15" x14ac:dyDescent="0.25">
      <c r="A59" s="30" t="s">
        <v>20</v>
      </c>
      <c r="B59" s="30" t="s">
        <v>20</v>
      </c>
      <c r="C59" s="5" t="s">
        <v>20</v>
      </c>
      <c r="D59" s="4" t="s">
        <v>20</v>
      </c>
      <c r="E59" s="4" t="s">
        <v>20</v>
      </c>
      <c r="F59" s="4" t="s">
        <v>20</v>
      </c>
      <c r="G59" s="4" t="s">
        <v>20</v>
      </c>
      <c r="H59" s="32" t="s">
        <v>20</v>
      </c>
      <c r="I59" s="32" t="s">
        <v>20</v>
      </c>
      <c r="J59" s="32" t="s">
        <v>20</v>
      </c>
      <c r="K59" s="32" t="s">
        <v>20</v>
      </c>
      <c r="L59" s="32" t="s">
        <v>20</v>
      </c>
      <c r="M59" s="4" t="s">
        <v>20</v>
      </c>
      <c r="N59" s="30" t="s">
        <v>20</v>
      </c>
      <c r="O59" s="30" t="s">
        <v>20</v>
      </c>
    </row>
    <row r="60" spans="1:15" x14ac:dyDescent="0.25">
      <c r="A60" s="30" t="s">
        <v>20</v>
      </c>
      <c r="B60" s="30" t="s">
        <v>20</v>
      </c>
      <c r="C60" s="5" t="s">
        <v>20</v>
      </c>
      <c r="D60" s="4" t="s">
        <v>20</v>
      </c>
      <c r="E60" s="4" t="s">
        <v>20</v>
      </c>
      <c r="F60" s="4" t="s">
        <v>20</v>
      </c>
      <c r="G60" s="4" t="s">
        <v>20</v>
      </c>
      <c r="H60" s="32" t="s">
        <v>20</v>
      </c>
      <c r="I60" s="32" t="s">
        <v>20</v>
      </c>
      <c r="J60" s="32" t="s">
        <v>20</v>
      </c>
      <c r="K60" s="32" t="s">
        <v>20</v>
      </c>
      <c r="L60" s="32" t="s">
        <v>20</v>
      </c>
      <c r="M60" s="4" t="s">
        <v>20</v>
      </c>
      <c r="N60" s="30" t="s">
        <v>20</v>
      </c>
      <c r="O60" s="30" t="s">
        <v>20</v>
      </c>
    </row>
    <row r="61" spans="1:15" x14ac:dyDescent="0.25">
      <c r="A61" s="30" t="s">
        <v>20</v>
      </c>
      <c r="B61" s="30" t="s">
        <v>20</v>
      </c>
      <c r="C61" s="5" t="s">
        <v>20</v>
      </c>
      <c r="D61" s="4" t="s">
        <v>20</v>
      </c>
      <c r="E61" s="4" t="s">
        <v>20</v>
      </c>
      <c r="F61" s="4" t="s">
        <v>20</v>
      </c>
      <c r="G61" s="4" t="s">
        <v>20</v>
      </c>
      <c r="H61" s="32" t="s">
        <v>20</v>
      </c>
      <c r="I61" s="32" t="s">
        <v>20</v>
      </c>
      <c r="J61" s="32" t="s">
        <v>20</v>
      </c>
      <c r="K61" s="32" t="s">
        <v>20</v>
      </c>
      <c r="L61" s="32" t="s">
        <v>20</v>
      </c>
      <c r="M61" s="4" t="s">
        <v>20</v>
      </c>
      <c r="N61" s="30" t="s">
        <v>20</v>
      </c>
      <c r="O61" s="30" t="s">
        <v>20</v>
      </c>
    </row>
    <row r="62" spans="1:15" x14ac:dyDescent="0.25">
      <c r="A62" s="30" t="s">
        <v>20</v>
      </c>
      <c r="B62" s="30" t="s">
        <v>20</v>
      </c>
      <c r="C62" s="5" t="s">
        <v>20</v>
      </c>
      <c r="D62" s="4" t="s">
        <v>20</v>
      </c>
      <c r="E62" s="4" t="s">
        <v>20</v>
      </c>
      <c r="F62" s="4" t="s">
        <v>20</v>
      </c>
      <c r="G62" s="4" t="s">
        <v>20</v>
      </c>
      <c r="H62" s="32" t="s">
        <v>20</v>
      </c>
      <c r="I62" s="32" t="s">
        <v>20</v>
      </c>
      <c r="J62" s="32" t="s">
        <v>20</v>
      </c>
      <c r="K62" s="32" t="s">
        <v>20</v>
      </c>
      <c r="L62" s="32" t="s">
        <v>20</v>
      </c>
      <c r="M62" s="4" t="s">
        <v>20</v>
      </c>
      <c r="N62" s="30" t="s">
        <v>20</v>
      </c>
      <c r="O62" s="30" t="s">
        <v>20</v>
      </c>
    </row>
    <row r="63" spans="1:15" x14ac:dyDescent="0.25">
      <c r="A63" s="30" t="s">
        <v>20</v>
      </c>
      <c r="B63" s="30" t="s">
        <v>20</v>
      </c>
      <c r="C63" s="5" t="s">
        <v>20</v>
      </c>
      <c r="D63" s="4" t="s">
        <v>20</v>
      </c>
      <c r="E63" s="4" t="s">
        <v>20</v>
      </c>
      <c r="F63" s="4" t="s">
        <v>20</v>
      </c>
      <c r="G63" s="4" t="s">
        <v>20</v>
      </c>
      <c r="H63" s="32" t="s">
        <v>20</v>
      </c>
      <c r="I63" s="32" t="s">
        <v>20</v>
      </c>
      <c r="J63" s="32" t="s">
        <v>20</v>
      </c>
      <c r="K63" s="32" t="s">
        <v>20</v>
      </c>
      <c r="L63" s="32" t="s">
        <v>20</v>
      </c>
      <c r="M63" s="4" t="s">
        <v>20</v>
      </c>
      <c r="N63" s="30" t="s">
        <v>20</v>
      </c>
      <c r="O63" s="30" t="s">
        <v>20</v>
      </c>
    </row>
    <row r="64" spans="1:15" x14ac:dyDescent="0.25">
      <c r="A64" s="30" t="s">
        <v>20</v>
      </c>
      <c r="B64" s="30" t="s">
        <v>20</v>
      </c>
      <c r="C64" s="5" t="s">
        <v>20</v>
      </c>
      <c r="D64" s="4" t="s">
        <v>20</v>
      </c>
      <c r="E64" s="4" t="s">
        <v>20</v>
      </c>
      <c r="F64" s="4" t="s">
        <v>20</v>
      </c>
      <c r="G64" s="4" t="s">
        <v>20</v>
      </c>
      <c r="H64" s="32" t="s">
        <v>20</v>
      </c>
      <c r="I64" s="32" t="s">
        <v>20</v>
      </c>
      <c r="J64" s="32" t="s">
        <v>20</v>
      </c>
      <c r="K64" s="32" t="s">
        <v>20</v>
      </c>
      <c r="L64" s="32" t="s">
        <v>20</v>
      </c>
      <c r="M64" s="4" t="s">
        <v>20</v>
      </c>
      <c r="N64" s="30" t="s">
        <v>20</v>
      </c>
      <c r="O64" s="30" t="s">
        <v>20</v>
      </c>
    </row>
    <row r="65" spans="1:15" x14ac:dyDescent="0.25">
      <c r="A65" s="30" t="s">
        <v>20</v>
      </c>
      <c r="B65" s="30" t="s">
        <v>20</v>
      </c>
      <c r="C65" s="5" t="s">
        <v>20</v>
      </c>
      <c r="D65" s="4" t="s">
        <v>20</v>
      </c>
      <c r="E65" s="4" t="s">
        <v>20</v>
      </c>
      <c r="F65" s="4" t="s">
        <v>20</v>
      </c>
      <c r="G65" s="4" t="s">
        <v>20</v>
      </c>
      <c r="H65" s="32" t="s">
        <v>20</v>
      </c>
      <c r="I65" s="32" t="s">
        <v>20</v>
      </c>
      <c r="J65" s="32" t="s">
        <v>20</v>
      </c>
      <c r="K65" s="32" t="s">
        <v>20</v>
      </c>
      <c r="L65" s="32" t="s">
        <v>20</v>
      </c>
      <c r="M65" s="4" t="s">
        <v>20</v>
      </c>
      <c r="N65" s="30" t="s">
        <v>20</v>
      </c>
      <c r="O65" s="30" t="s">
        <v>20</v>
      </c>
    </row>
    <row r="66" spans="1:15" x14ac:dyDescent="0.25">
      <c r="A66" s="30" t="s">
        <v>20</v>
      </c>
      <c r="B66" s="30" t="s">
        <v>20</v>
      </c>
      <c r="C66" s="5" t="s">
        <v>20</v>
      </c>
      <c r="D66" s="4" t="s">
        <v>20</v>
      </c>
      <c r="E66" s="4" t="s">
        <v>20</v>
      </c>
      <c r="F66" s="4" t="s">
        <v>20</v>
      </c>
      <c r="G66" s="4" t="s">
        <v>20</v>
      </c>
      <c r="H66" s="32" t="s">
        <v>20</v>
      </c>
      <c r="I66" s="32" t="s">
        <v>20</v>
      </c>
      <c r="J66" s="32" t="s">
        <v>20</v>
      </c>
      <c r="K66" s="32" t="s">
        <v>20</v>
      </c>
      <c r="L66" s="32" t="s">
        <v>20</v>
      </c>
      <c r="M66" s="4" t="s">
        <v>20</v>
      </c>
      <c r="N66" s="30" t="s">
        <v>20</v>
      </c>
      <c r="O66" s="30" t="s">
        <v>20</v>
      </c>
    </row>
    <row r="67" spans="1:15" x14ac:dyDescent="0.25">
      <c r="A67" s="30" t="s">
        <v>20</v>
      </c>
      <c r="B67" s="30" t="s">
        <v>20</v>
      </c>
      <c r="C67" s="5" t="s">
        <v>20</v>
      </c>
      <c r="D67" s="4" t="s">
        <v>20</v>
      </c>
      <c r="E67" s="4" t="s">
        <v>20</v>
      </c>
      <c r="F67" s="4" t="s">
        <v>20</v>
      </c>
      <c r="G67" s="4" t="s">
        <v>20</v>
      </c>
      <c r="H67" s="32" t="s">
        <v>20</v>
      </c>
      <c r="I67" s="32" t="s">
        <v>20</v>
      </c>
      <c r="J67" s="32" t="s">
        <v>20</v>
      </c>
      <c r="K67" s="32" t="s">
        <v>20</v>
      </c>
      <c r="L67" s="32" t="s">
        <v>20</v>
      </c>
      <c r="M67" s="4" t="s">
        <v>20</v>
      </c>
      <c r="N67" s="30" t="s">
        <v>20</v>
      </c>
      <c r="O67" s="30" t="s">
        <v>20</v>
      </c>
    </row>
    <row r="68" spans="1:15" x14ac:dyDescent="0.25">
      <c r="A68" s="30" t="s">
        <v>20</v>
      </c>
      <c r="B68" s="30" t="s">
        <v>20</v>
      </c>
      <c r="C68" s="5" t="s">
        <v>20</v>
      </c>
      <c r="D68" s="4" t="s">
        <v>20</v>
      </c>
      <c r="E68" s="4" t="s">
        <v>20</v>
      </c>
      <c r="F68" s="4" t="s">
        <v>20</v>
      </c>
      <c r="G68" s="4" t="s">
        <v>20</v>
      </c>
      <c r="H68" s="32" t="s">
        <v>20</v>
      </c>
      <c r="I68" s="32" t="s">
        <v>20</v>
      </c>
      <c r="J68" s="32" t="s">
        <v>20</v>
      </c>
      <c r="K68" s="32" t="s">
        <v>20</v>
      </c>
      <c r="L68" s="32" t="s">
        <v>20</v>
      </c>
      <c r="M68" s="4" t="s">
        <v>20</v>
      </c>
      <c r="N68" s="30" t="s">
        <v>20</v>
      </c>
      <c r="O68" s="30" t="s">
        <v>20</v>
      </c>
    </row>
    <row r="69" spans="1:15" x14ac:dyDescent="0.25">
      <c r="A69" s="30" t="s">
        <v>20</v>
      </c>
      <c r="B69" s="30" t="s">
        <v>20</v>
      </c>
      <c r="C69" s="5" t="s">
        <v>20</v>
      </c>
      <c r="D69" s="4" t="s">
        <v>20</v>
      </c>
      <c r="E69" s="4" t="s">
        <v>20</v>
      </c>
      <c r="F69" s="4" t="s">
        <v>20</v>
      </c>
      <c r="G69" s="4" t="s">
        <v>20</v>
      </c>
      <c r="H69" s="32" t="s">
        <v>20</v>
      </c>
      <c r="I69" s="32" t="s">
        <v>20</v>
      </c>
      <c r="J69" s="32" t="s">
        <v>20</v>
      </c>
      <c r="K69" s="32" t="s">
        <v>20</v>
      </c>
      <c r="L69" s="32" t="s">
        <v>20</v>
      </c>
      <c r="M69" s="4" t="s">
        <v>20</v>
      </c>
      <c r="N69" s="30" t="s">
        <v>20</v>
      </c>
      <c r="O69" s="30" t="s">
        <v>20</v>
      </c>
    </row>
    <row r="70" spans="1:15" x14ac:dyDescent="0.25">
      <c r="A70" s="30" t="s">
        <v>20</v>
      </c>
      <c r="B70" s="30" t="s">
        <v>20</v>
      </c>
      <c r="C70" s="5" t="s">
        <v>20</v>
      </c>
      <c r="D70" s="4" t="s">
        <v>20</v>
      </c>
      <c r="E70" s="4" t="s">
        <v>20</v>
      </c>
      <c r="F70" s="4" t="s">
        <v>20</v>
      </c>
      <c r="G70" s="4" t="s">
        <v>20</v>
      </c>
      <c r="H70" s="32" t="s">
        <v>20</v>
      </c>
      <c r="I70" s="32" t="s">
        <v>20</v>
      </c>
      <c r="J70" s="32" t="s">
        <v>20</v>
      </c>
      <c r="K70" s="32" t="s">
        <v>20</v>
      </c>
      <c r="L70" s="32" t="s">
        <v>20</v>
      </c>
      <c r="M70" s="4" t="s">
        <v>20</v>
      </c>
      <c r="N70" s="30" t="s">
        <v>20</v>
      </c>
      <c r="O70" s="30" t="s">
        <v>20</v>
      </c>
    </row>
    <row r="71" spans="1:15" x14ac:dyDescent="0.25">
      <c r="A71" s="30" t="s">
        <v>20</v>
      </c>
      <c r="B71" s="30" t="s">
        <v>20</v>
      </c>
      <c r="C71" s="5" t="s">
        <v>20</v>
      </c>
      <c r="D71" s="4" t="s">
        <v>20</v>
      </c>
      <c r="E71" s="4" t="s">
        <v>20</v>
      </c>
      <c r="F71" s="4" t="s">
        <v>20</v>
      </c>
      <c r="G71" s="4" t="s">
        <v>20</v>
      </c>
      <c r="H71" s="32" t="s">
        <v>20</v>
      </c>
      <c r="I71" s="32" t="s">
        <v>20</v>
      </c>
      <c r="J71" s="32" t="s">
        <v>20</v>
      </c>
      <c r="K71" s="32" t="s">
        <v>20</v>
      </c>
      <c r="L71" s="32" t="s">
        <v>20</v>
      </c>
      <c r="M71" s="4" t="s">
        <v>20</v>
      </c>
      <c r="N71" s="30" t="s">
        <v>20</v>
      </c>
      <c r="O71" s="30" t="s">
        <v>20</v>
      </c>
    </row>
    <row r="72" spans="1:15" x14ac:dyDescent="0.25">
      <c r="A72" s="30" t="s">
        <v>20</v>
      </c>
      <c r="B72" s="30" t="s">
        <v>20</v>
      </c>
      <c r="C72" s="5" t="s">
        <v>20</v>
      </c>
      <c r="D72" s="4" t="s">
        <v>20</v>
      </c>
      <c r="E72" s="4" t="s">
        <v>20</v>
      </c>
      <c r="F72" s="4" t="s">
        <v>20</v>
      </c>
      <c r="G72" s="4" t="s">
        <v>20</v>
      </c>
      <c r="H72" s="32" t="s">
        <v>20</v>
      </c>
      <c r="I72" s="32" t="s">
        <v>20</v>
      </c>
      <c r="J72" s="32" t="s">
        <v>20</v>
      </c>
      <c r="K72" s="32" t="s">
        <v>20</v>
      </c>
      <c r="L72" s="32" t="s">
        <v>20</v>
      </c>
      <c r="M72" s="4" t="s">
        <v>20</v>
      </c>
      <c r="N72" s="30" t="s">
        <v>20</v>
      </c>
      <c r="O72" s="30" t="s">
        <v>20</v>
      </c>
    </row>
    <row r="73" spans="1:15" x14ac:dyDescent="0.25">
      <c r="A73" s="30" t="s">
        <v>20</v>
      </c>
      <c r="B73" s="30" t="s">
        <v>20</v>
      </c>
      <c r="C73" s="5" t="s">
        <v>20</v>
      </c>
      <c r="D73" s="4" t="s">
        <v>20</v>
      </c>
      <c r="E73" s="4" t="s">
        <v>20</v>
      </c>
      <c r="F73" s="4" t="s">
        <v>20</v>
      </c>
      <c r="G73" s="4" t="s">
        <v>20</v>
      </c>
      <c r="H73" s="32" t="s">
        <v>20</v>
      </c>
      <c r="I73" s="32" t="s">
        <v>20</v>
      </c>
      <c r="J73" s="32" t="s">
        <v>20</v>
      </c>
      <c r="K73" s="32" t="s">
        <v>20</v>
      </c>
      <c r="L73" s="32" t="s">
        <v>20</v>
      </c>
      <c r="M73" s="4" t="s">
        <v>20</v>
      </c>
      <c r="N73" s="30" t="s">
        <v>20</v>
      </c>
      <c r="O73" s="30" t="s">
        <v>20</v>
      </c>
    </row>
    <row r="74" spans="1:15" x14ac:dyDescent="0.25">
      <c r="A74" s="30" t="s">
        <v>20</v>
      </c>
      <c r="B74" s="30" t="s">
        <v>20</v>
      </c>
      <c r="C74" s="5" t="s">
        <v>20</v>
      </c>
      <c r="D74" s="4" t="s">
        <v>20</v>
      </c>
      <c r="E74" s="4" t="s">
        <v>20</v>
      </c>
      <c r="F74" s="4" t="s">
        <v>20</v>
      </c>
      <c r="G74" s="4" t="s">
        <v>20</v>
      </c>
      <c r="H74" s="32" t="s">
        <v>20</v>
      </c>
      <c r="I74" s="32" t="s">
        <v>20</v>
      </c>
      <c r="J74" s="32" t="s">
        <v>20</v>
      </c>
      <c r="K74" s="32" t="s">
        <v>20</v>
      </c>
      <c r="L74" s="32" t="s">
        <v>20</v>
      </c>
      <c r="M74" s="4" t="s">
        <v>20</v>
      </c>
      <c r="N74" s="30" t="s">
        <v>20</v>
      </c>
      <c r="O74" s="30" t="s">
        <v>20</v>
      </c>
    </row>
    <row r="75" spans="1:15" x14ac:dyDescent="0.25">
      <c r="A75" s="30" t="s">
        <v>20</v>
      </c>
      <c r="B75" s="30" t="s">
        <v>20</v>
      </c>
      <c r="C75" s="5" t="s">
        <v>20</v>
      </c>
      <c r="D75" s="4" t="s">
        <v>20</v>
      </c>
      <c r="E75" s="4" t="s">
        <v>20</v>
      </c>
      <c r="F75" s="4" t="s">
        <v>20</v>
      </c>
      <c r="G75" s="4" t="s">
        <v>20</v>
      </c>
      <c r="H75" s="32" t="s">
        <v>20</v>
      </c>
      <c r="I75" s="32" t="s">
        <v>20</v>
      </c>
      <c r="J75" s="32" t="s">
        <v>20</v>
      </c>
      <c r="K75" s="32" t="s">
        <v>20</v>
      </c>
      <c r="L75" s="32" t="s">
        <v>20</v>
      </c>
      <c r="M75" s="4" t="s">
        <v>20</v>
      </c>
      <c r="N75" s="30" t="s">
        <v>20</v>
      </c>
      <c r="O75" s="30" t="s">
        <v>20</v>
      </c>
    </row>
    <row r="76" spans="1:15" x14ac:dyDescent="0.25">
      <c r="A76" s="30" t="s">
        <v>20</v>
      </c>
      <c r="B76" s="30" t="s">
        <v>20</v>
      </c>
      <c r="C76" s="5" t="s">
        <v>20</v>
      </c>
      <c r="D76" s="4" t="s">
        <v>20</v>
      </c>
      <c r="E76" s="4" t="s">
        <v>20</v>
      </c>
      <c r="F76" s="4" t="s">
        <v>20</v>
      </c>
      <c r="G76" s="4" t="s">
        <v>20</v>
      </c>
      <c r="H76" s="32" t="s">
        <v>20</v>
      </c>
      <c r="I76" s="32" t="s">
        <v>20</v>
      </c>
      <c r="J76" s="32" t="s">
        <v>20</v>
      </c>
      <c r="K76" s="32" t="s">
        <v>20</v>
      </c>
      <c r="L76" s="32" t="s">
        <v>20</v>
      </c>
      <c r="M76" s="4" t="s">
        <v>20</v>
      </c>
      <c r="N76" s="30" t="s">
        <v>20</v>
      </c>
      <c r="O76" s="30" t="s">
        <v>20</v>
      </c>
    </row>
    <row r="77" spans="1:15" x14ac:dyDescent="0.25">
      <c r="A77" s="30" t="s">
        <v>20</v>
      </c>
      <c r="B77" s="30" t="s">
        <v>20</v>
      </c>
      <c r="C77" s="5" t="s">
        <v>20</v>
      </c>
      <c r="D77" s="4" t="s">
        <v>20</v>
      </c>
      <c r="E77" s="4" t="s">
        <v>20</v>
      </c>
      <c r="F77" s="4" t="s">
        <v>20</v>
      </c>
      <c r="G77" s="4" t="s">
        <v>20</v>
      </c>
      <c r="H77" s="32" t="s">
        <v>20</v>
      </c>
      <c r="I77" s="32" t="s">
        <v>20</v>
      </c>
      <c r="J77" s="32" t="s">
        <v>20</v>
      </c>
      <c r="K77" s="32" t="s">
        <v>20</v>
      </c>
      <c r="L77" s="32" t="s">
        <v>20</v>
      </c>
      <c r="M77" s="4" t="s">
        <v>20</v>
      </c>
      <c r="N77" s="30" t="s">
        <v>20</v>
      </c>
      <c r="O77" s="30" t="s">
        <v>20</v>
      </c>
    </row>
    <row r="78" spans="1:15" x14ac:dyDescent="0.25">
      <c r="A78" s="30" t="s">
        <v>20</v>
      </c>
      <c r="B78" s="30" t="s">
        <v>20</v>
      </c>
      <c r="C78" s="5" t="s">
        <v>20</v>
      </c>
      <c r="D78" s="4" t="s">
        <v>20</v>
      </c>
      <c r="E78" s="4" t="s">
        <v>20</v>
      </c>
      <c r="F78" s="4" t="s">
        <v>20</v>
      </c>
      <c r="G78" s="4" t="s">
        <v>20</v>
      </c>
      <c r="H78" s="32" t="s">
        <v>20</v>
      </c>
      <c r="I78" s="32" t="s">
        <v>20</v>
      </c>
      <c r="J78" s="32" t="s">
        <v>20</v>
      </c>
      <c r="K78" s="32" t="s">
        <v>20</v>
      </c>
      <c r="L78" s="32" t="s">
        <v>20</v>
      </c>
      <c r="M78" s="4" t="s">
        <v>20</v>
      </c>
      <c r="N78" s="30" t="s">
        <v>20</v>
      </c>
      <c r="O78" s="30" t="s">
        <v>20</v>
      </c>
    </row>
    <row r="79" spans="1:15" x14ac:dyDescent="0.25">
      <c r="A79" s="30" t="s">
        <v>20</v>
      </c>
      <c r="B79" s="30" t="s">
        <v>20</v>
      </c>
      <c r="C79" s="5" t="s">
        <v>20</v>
      </c>
      <c r="D79" s="4" t="s">
        <v>20</v>
      </c>
      <c r="E79" s="4" t="s">
        <v>20</v>
      </c>
      <c r="F79" s="4" t="s">
        <v>20</v>
      </c>
      <c r="G79" s="4" t="s">
        <v>20</v>
      </c>
      <c r="H79" s="32" t="s">
        <v>20</v>
      </c>
      <c r="I79" s="32" t="s">
        <v>20</v>
      </c>
      <c r="J79" s="32" t="s">
        <v>20</v>
      </c>
      <c r="K79" s="32" t="s">
        <v>20</v>
      </c>
      <c r="L79" s="32" t="s">
        <v>20</v>
      </c>
      <c r="M79" s="4" t="s">
        <v>20</v>
      </c>
      <c r="N79" s="30" t="s">
        <v>20</v>
      </c>
      <c r="O79" s="30" t="s">
        <v>20</v>
      </c>
    </row>
    <row r="80" spans="1:15" x14ac:dyDescent="0.25">
      <c r="A80" s="30" t="s">
        <v>20</v>
      </c>
      <c r="B80" s="30" t="s">
        <v>20</v>
      </c>
      <c r="C80" s="5" t="s">
        <v>20</v>
      </c>
      <c r="D80" s="4" t="s">
        <v>20</v>
      </c>
      <c r="E80" s="4" t="s">
        <v>20</v>
      </c>
      <c r="F80" s="4" t="s">
        <v>20</v>
      </c>
      <c r="G80" s="4" t="s">
        <v>20</v>
      </c>
      <c r="H80" s="32" t="s">
        <v>20</v>
      </c>
      <c r="I80" s="32" t="s">
        <v>20</v>
      </c>
      <c r="J80" s="32" t="s">
        <v>20</v>
      </c>
      <c r="K80" s="32" t="s">
        <v>20</v>
      </c>
      <c r="L80" s="32" t="s">
        <v>20</v>
      </c>
      <c r="M80" s="4" t="s">
        <v>20</v>
      </c>
      <c r="N80" s="30" t="s">
        <v>20</v>
      </c>
      <c r="O80" s="30" t="s">
        <v>20</v>
      </c>
    </row>
    <row r="81" spans="1:15" x14ac:dyDescent="0.25">
      <c r="A81" s="30" t="s">
        <v>20</v>
      </c>
      <c r="B81" s="30" t="s">
        <v>20</v>
      </c>
      <c r="C81" s="5" t="s">
        <v>20</v>
      </c>
      <c r="D81" s="4" t="s">
        <v>20</v>
      </c>
      <c r="E81" s="4" t="s">
        <v>20</v>
      </c>
      <c r="F81" s="4" t="s">
        <v>20</v>
      </c>
      <c r="G81" s="4" t="s">
        <v>20</v>
      </c>
      <c r="H81" s="32" t="s">
        <v>20</v>
      </c>
      <c r="I81" s="32" t="s">
        <v>20</v>
      </c>
      <c r="J81" s="32" t="s">
        <v>20</v>
      </c>
      <c r="K81" s="32" t="s">
        <v>20</v>
      </c>
      <c r="L81" s="32" t="s">
        <v>20</v>
      </c>
      <c r="M81" s="4" t="s">
        <v>20</v>
      </c>
      <c r="N81" s="30" t="s">
        <v>20</v>
      </c>
      <c r="O81" s="30" t="s">
        <v>20</v>
      </c>
    </row>
    <row r="82" spans="1:15" x14ac:dyDescent="0.25">
      <c r="A82" s="30" t="s">
        <v>20</v>
      </c>
      <c r="B82" s="30" t="s">
        <v>20</v>
      </c>
      <c r="C82" s="5" t="s">
        <v>20</v>
      </c>
      <c r="D82" s="4" t="s">
        <v>20</v>
      </c>
      <c r="E82" s="4" t="s">
        <v>20</v>
      </c>
      <c r="F82" s="4" t="s">
        <v>20</v>
      </c>
      <c r="G82" s="4" t="s">
        <v>20</v>
      </c>
      <c r="H82" s="32" t="s">
        <v>20</v>
      </c>
      <c r="I82" s="32" t="s">
        <v>20</v>
      </c>
      <c r="J82" s="32" t="s">
        <v>20</v>
      </c>
      <c r="K82" s="32" t="s">
        <v>20</v>
      </c>
      <c r="L82" s="32" t="s">
        <v>20</v>
      </c>
      <c r="M82" s="4" t="s">
        <v>20</v>
      </c>
      <c r="N82" s="30" t="s">
        <v>20</v>
      </c>
      <c r="O82" s="30" t="s">
        <v>20</v>
      </c>
    </row>
    <row r="83" spans="1:15" x14ac:dyDescent="0.25">
      <c r="A83" s="30" t="s">
        <v>20</v>
      </c>
      <c r="B83" s="30" t="s">
        <v>20</v>
      </c>
      <c r="C83" s="5" t="s">
        <v>20</v>
      </c>
      <c r="D83" s="4" t="s">
        <v>20</v>
      </c>
      <c r="E83" s="4" t="s">
        <v>20</v>
      </c>
      <c r="F83" s="4" t="s">
        <v>20</v>
      </c>
      <c r="G83" s="4" t="s">
        <v>20</v>
      </c>
      <c r="H83" s="32" t="s">
        <v>20</v>
      </c>
      <c r="I83" s="32" t="s">
        <v>20</v>
      </c>
      <c r="J83" s="32" t="s">
        <v>20</v>
      </c>
      <c r="K83" s="32" t="s">
        <v>20</v>
      </c>
      <c r="L83" s="32" t="s">
        <v>20</v>
      </c>
      <c r="M83" s="4" t="s">
        <v>20</v>
      </c>
      <c r="N83" s="30" t="s">
        <v>20</v>
      </c>
      <c r="O83" s="30" t="s">
        <v>20</v>
      </c>
    </row>
    <row r="84" spans="1:15" x14ac:dyDescent="0.25">
      <c r="A84" s="30" t="s">
        <v>20</v>
      </c>
      <c r="B84" s="30" t="s">
        <v>20</v>
      </c>
      <c r="C84" s="5" t="s">
        <v>20</v>
      </c>
      <c r="D84" s="4" t="s">
        <v>20</v>
      </c>
      <c r="E84" s="4" t="s">
        <v>20</v>
      </c>
      <c r="F84" s="4" t="s">
        <v>20</v>
      </c>
      <c r="G84" s="4" t="s">
        <v>20</v>
      </c>
      <c r="H84" s="32" t="s">
        <v>20</v>
      </c>
      <c r="I84" s="32" t="s">
        <v>20</v>
      </c>
      <c r="J84" s="32" t="s">
        <v>20</v>
      </c>
      <c r="K84" s="32" t="s">
        <v>20</v>
      </c>
      <c r="L84" s="32" t="s">
        <v>20</v>
      </c>
      <c r="M84" s="4" t="s">
        <v>20</v>
      </c>
      <c r="N84" s="30" t="s">
        <v>20</v>
      </c>
      <c r="O84" s="30" t="s">
        <v>20</v>
      </c>
    </row>
    <row r="85" spans="1:15" x14ac:dyDescent="0.25">
      <c r="A85" s="30" t="s">
        <v>20</v>
      </c>
      <c r="B85" s="30" t="s">
        <v>20</v>
      </c>
      <c r="C85" s="5" t="s">
        <v>20</v>
      </c>
      <c r="D85" s="4" t="s">
        <v>20</v>
      </c>
      <c r="E85" s="4" t="s">
        <v>20</v>
      </c>
      <c r="F85" s="4" t="s">
        <v>20</v>
      </c>
      <c r="G85" s="4" t="s">
        <v>20</v>
      </c>
      <c r="H85" s="32" t="s">
        <v>20</v>
      </c>
      <c r="I85" s="32" t="s">
        <v>20</v>
      </c>
      <c r="J85" s="32" t="s">
        <v>20</v>
      </c>
      <c r="K85" s="32" t="s">
        <v>20</v>
      </c>
      <c r="L85" s="32" t="s">
        <v>20</v>
      </c>
      <c r="M85" s="4" t="s">
        <v>20</v>
      </c>
      <c r="N85" s="30" t="s">
        <v>20</v>
      </c>
      <c r="O85" s="30" t="s">
        <v>20</v>
      </c>
    </row>
    <row r="86" spans="1:15" x14ac:dyDescent="0.25">
      <c r="A86" s="30" t="s">
        <v>20</v>
      </c>
      <c r="B86" s="30" t="s">
        <v>20</v>
      </c>
      <c r="C86" s="5" t="s">
        <v>20</v>
      </c>
      <c r="D86" s="4" t="s">
        <v>20</v>
      </c>
      <c r="E86" s="4" t="s">
        <v>20</v>
      </c>
      <c r="F86" s="4" t="s">
        <v>20</v>
      </c>
      <c r="G86" s="4" t="s">
        <v>20</v>
      </c>
      <c r="H86" s="32" t="s">
        <v>20</v>
      </c>
      <c r="I86" s="32" t="s">
        <v>20</v>
      </c>
      <c r="J86" s="32" t="s">
        <v>20</v>
      </c>
      <c r="K86" s="32" t="s">
        <v>20</v>
      </c>
      <c r="L86" s="32" t="s">
        <v>20</v>
      </c>
      <c r="M86" s="4" t="s">
        <v>20</v>
      </c>
      <c r="N86" s="30" t="s">
        <v>20</v>
      </c>
      <c r="O86" s="30" t="s">
        <v>20</v>
      </c>
    </row>
    <row r="87" spans="1:15" x14ac:dyDescent="0.25">
      <c r="A87" s="30" t="s">
        <v>20</v>
      </c>
      <c r="B87" s="30" t="s">
        <v>20</v>
      </c>
      <c r="C87" s="5" t="s">
        <v>20</v>
      </c>
      <c r="D87" s="4" t="s">
        <v>20</v>
      </c>
      <c r="E87" s="4" t="s">
        <v>20</v>
      </c>
      <c r="F87" s="4" t="s">
        <v>20</v>
      </c>
      <c r="G87" s="4" t="s">
        <v>20</v>
      </c>
      <c r="H87" s="32" t="s">
        <v>20</v>
      </c>
      <c r="I87" s="32" t="s">
        <v>20</v>
      </c>
      <c r="J87" s="32" t="s">
        <v>20</v>
      </c>
      <c r="K87" s="32" t="s">
        <v>20</v>
      </c>
      <c r="L87" s="32" t="s">
        <v>20</v>
      </c>
      <c r="M87" s="4" t="s">
        <v>20</v>
      </c>
      <c r="N87" s="30" t="s">
        <v>20</v>
      </c>
      <c r="O87" s="30" t="s">
        <v>20</v>
      </c>
    </row>
    <row r="88" spans="1:15" x14ac:dyDescent="0.25">
      <c r="A88" s="30" t="s">
        <v>20</v>
      </c>
      <c r="B88" s="30" t="s">
        <v>20</v>
      </c>
      <c r="C88" s="5" t="s">
        <v>20</v>
      </c>
      <c r="D88" s="4" t="s">
        <v>20</v>
      </c>
      <c r="E88" s="4" t="s">
        <v>20</v>
      </c>
      <c r="F88" s="4" t="s">
        <v>20</v>
      </c>
      <c r="G88" s="4" t="s">
        <v>20</v>
      </c>
      <c r="H88" s="32" t="s">
        <v>20</v>
      </c>
      <c r="I88" s="32" t="s">
        <v>20</v>
      </c>
      <c r="J88" s="32" t="s">
        <v>20</v>
      </c>
      <c r="K88" s="32" t="s">
        <v>20</v>
      </c>
      <c r="L88" s="32" t="s">
        <v>20</v>
      </c>
      <c r="M88" s="4" t="s">
        <v>20</v>
      </c>
      <c r="N88" s="30" t="s">
        <v>20</v>
      </c>
      <c r="O88" s="30" t="s">
        <v>20</v>
      </c>
    </row>
    <row r="89" spans="1:15" x14ac:dyDescent="0.25">
      <c r="A89" s="30" t="s">
        <v>20</v>
      </c>
      <c r="B89" s="30" t="s">
        <v>20</v>
      </c>
      <c r="C89" s="5" t="s">
        <v>20</v>
      </c>
      <c r="D89" s="4" t="s">
        <v>20</v>
      </c>
      <c r="E89" s="4" t="s">
        <v>20</v>
      </c>
      <c r="F89" s="4" t="s">
        <v>20</v>
      </c>
      <c r="G89" s="4" t="s">
        <v>20</v>
      </c>
      <c r="H89" s="32" t="s">
        <v>20</v>
      </c>
      <c r="I89" s="32" t="s">
        <v>20</v>
      </c>
      <c r="J89" s="32" t="s">
        <v>20</v>
      </c>
      <c r="K89" s="32" t="s">
        <v>20</v>
      </c>
      <c r="L89" s="32" t="s">
        <v>20</v>
      </c>
      <c r="M89" s="4" t="s">
        <v>20</v>
      </c>
      <c r="N89" s="30" t="s">
        <v>20</v>
      </c>
      <c r="O89" s="30" t="s">
        <v>20</v>
      </c>
    </row>
    <row r="90" spans="1:15" x14ac:dyDescent="0.25">
      <c r="A90" s="30" t="s">
        <v>20</v>
      </c>
      <c r="B90" s="30" t="s">
        <v>20</v>
      </c>
      <c r="C90" s="5" t="s">
        <v>20</v>
      </c>
      <c r="D90" s="4" t="s">
        <v>20</v>
      </c>
      <c r="E90" s="4" t="s">
        <v>20</v>
      </c>
      <c r="F90" s="4" t="s">
        <v>20</v>
      </c>
      <c r="G90" s="4" t="s">
        <v>20</v>
      </c>
      <c r="H90" s="32" t="s">
        <v>20</v>
      </c>
      <c r="I90" s="32" t="s">
        <v>20</v>
      </c>
      <c r="J90" s="32" t="s">
        <v>20</v>
      </c>
      <c r="K90" s="32" t="s">
        <v>20</v>
      </c>
      <c r="L90" s="32" t="s">
        <v>20</v>
      </c>
      <c r="M90" s="4" t="s">
        <v>20</v>
      </c>
      <c r="N90" s="30" t="s">
        <v>20</v>
      </c>
      <c r="O90" s="30" t="s">
        <v>20</v>
      </c>
    </row>
    <row r="91" spans="1:15" x14ac:dyDescent="0.25">
      <c r="A91" s="30" t="s">
        <v>20</v>
      </c>
      <c r="B91" s="30" t="s">
        <v>20</v>
      </c>
      <c r="C91" s="5" t="s">
        <v>20</v>
      </c>
      <c r="D91" s="4" t="s">
        <v>20</v>
      </c>
      <c r="E91" s="4" t="s">
        <v>20</v>
      </c>
      <c r="F91" s="4" t="s">
        <v>20</v>
      </c>
      <c r="G91" s="4" t="s">
        <v>20</v>
      </c>
      <c r="H91" s="32" t="s">
        <v>20</v>
      </c>
      <c r="I91" s="32" t="s">
        <v>20</v>
      </c>
      <c r="J91" s="32" t="s">
        <v>20</v>
      </c>
      <c r="K91" s="32" t="s">
        <v>20</v>
      </c>
      <c r="L91" s="32" t="s">
        <v>20</v>
      </c>
      <c r="M91" s="4" t="s">
        <v>20</v>
      </c>
      <c r="N91" s="30" t="s">
        <v>20</v>
      </c>
      <c r="O91" s="30" t="s">
        <v>20</v>
      </c>
    </row>
    <row r="92" spans="1:15" x14ac:dyDescent="0.25">
      <c r="A92" s="30" t="s">
        <v>20</v>
      </c>
      <c r="B92" s="30" t="s">
        <v>20</v>
      </c>
      <c r="C92" s="5" t="s">
        <v>20</v>
      </c>
      <c r="D92" s="4" t="s">
        <v>20</v>
      </c>
      <c r="E92" s="4" t="s">
        <v>20</v>
      </c>
      <c r="F92" s="4" t="s">
        <v>20</v>
      </c>
      <c r="G92" s="4" t="s">
        <v>20</v>
      </c>
      <c r="H92" s="32" t="s">
        <v>20</v>
      </c>
      <c r="I92" s="32" t="s">
        <v>20</v>
      </c>
      <c r="J92" s="32" t="s">
        <v>20</v>
      </c>
      <c r="K92" s="32" t="s">
        <v>20</v>
      </c>
      <c r="L92" s="32" t="s">
        <v>20</v>
      </c>
      <c r="M92" s="4" t="s">
        <v>20</v>
      </c>
      <c r="N92" s="30" t="s">
        <v>20</v>
      </c>
      <c r="O92" s="30" t="s">
        <v>20</v>
      </c>
    </row>
    <row r="93" spans="1:15" x14ac:dyDescent="0.25">
      <c r="A93" s="30" t="s">
        <v>20</v>
      </c>
      <c r="B93" s="30" t="s">
        <v>20</v>
      </c>
      <c r="C93" s="5" t="s">
        <v>20</v>
      </c>
      <c r="D93" s="4" t="s">
        <v>20</v>
      </c>
      <c r="E93" s="4" t="s">
        <v>20</v>
      </c>
      <c r="F93" s="4" t="s">
        <v>20</v>
      </c>
      <c r="G93" s="4" t="s">
        <v>20</v>
      </c>
      <c r="H93" s="32" t="s">
        <v>20</v>
      </c>
      <c r="I93" s="32" t="s">
        <v>20</v>
      </c>
      <c r="J93" s="32" t="s">
        <v>20</v>
      </c>
      <c r="K93" s="32" t="s">
        <v>20</v>
      </c>
      <c r="L93" s="32" t="s">
        <v>20</v>
      </c>
      <c r="M93" s="4" t="s">
        <v>20</v>
      </c>
      <c r="N93" s="30" t="s">
        <v>20</v>
      </c>
      <c r="O93" s="30" t="s">
        <v>20</v>
      </c>
    </row>
    <row r="94" spans="1:15" x14ac:dyDescent="0.25">
      <c r="A94" s="30" t="s">
        <v>20</v>
      </c>
      <c r="B94" s="30" t="s">
        <v>20</v>
      </c>
      <c r="C94" s="5" t="s">
        <v>20</v>
      </c>
      <c r="D94" s="4" t="s">
        <v>20</v>
      </c>
      <c r="E94" s="4" t="s">
        <v>20</v>
      </c>
      <c r="F94" s="4" t="s">
        <v>20</v>
      </c>
      <c r="G94" s="4" t="s">
        <v>20</v>
      </c>
      <c r="H94" s="32" t="s">
        <v>20</v>
      </c>
      <c r="I94" s="32" t="s">
        <v>20</v>
      </c>
      <c r="J94" s="32" t="s">
        <v>20</v>
      </c>
      <c r="K94" s="32" t="s">
        <v>20</v>
      </c>
      <c r="L94" s="32" t="s">
        <v>20</v>
      </c>
      <c r="M94" s="4" t="s">
        <v>20</v>
      </c>
      <c r="N94" s="30" t="s">
        <v>20</v>
      </c>
      <c r="O94" s="30" t="s">
        <v>20</v>
      </c>
    </row>
    <row r="95" spans="1:15" x14ac:dyDescent="0.25">
      <c r="A95" s="30" t="s">
        <v>20</v>
      </c>
      <c r="B95" s="30" t="s">
        <v>20</v>
      </c>
      <c r="C95" s="5" t="s">
        <v>20</v>
      </c>
      <c r="D95" s="4" t="s">
        <v>20</v>
      </c>
      <c r="E95" s="4" t="s">
        <v>20</v>
      </c>
      <c r="F95" s="4" t="s">
        <v>20</v>
      </c>
      <c r="G95" s="4" t="s">
        <v>20</v>
      </c>
      <c r="H95" s="32" t="s">
        <v>20</v>
      </c>
      <c r="I95" s="32" t="s">
        <v>20</v>
      </c>
      <c r="J95" s="32" t="s">
        <v>20</v>
      </c>
      <c r="K95" s="32" t="s">
        <v>20</v>
      </c>
      <c r="L95" s="32" t="s">
        <v>20</v>
      </c>
      <c r="M95" s="4" t="s">
        <v>20</v>
      </c>
      <c r="N95" s="30" t="s">
        <v>20</v>
      </c>
      <c r="O95" s="30" t="s">
        <v>20</v>
      </c>
    </row>
    <row r="96" spans="1:15" x14ac:dyDescent="0.25">
      <c r="A96" s="30" t="s">
        <v>20</v>
      </c>
      <c r="B96" s="30" t="s">
        <v>20</v>
      </c>
      <c r="C96" s="5" t="s">
        <v>20</v>
      </c>
      <c r="D96" s="4" t="s">
        <v>20</v>
      </c>
      <c r="E96" s="4" t="s">
        <v>20</v>
      </c>
      <c r="F96" s="4" t="s">
        <v>20</v>
      </c>
      <c r="G96" s="4" t="s">
        <v>20</v>
      </c>
      <c r="H96" s="32" t="s">
        <v>20</v>
      </c>
      <c r="I96" s="32" t="s">
        <v>20</v>
      </c>
      <c r="J96" s="32" t="s">
        <v>20</v>
      </c>
      <c r="K96" s="32" t="s">
        <v>20</v>
      </c>
      <c r="L96" s="32" t="s">
        <v>20</v>
      </c>
      <c r="M96" s="4" t="s">
        <v>20</v>
      </c>
      <c r="N96" s="30" t="s">
        <v>20</v>
      </c>
      <c r="O96" s="30" t="s">
        <v>20</v>
      </c>
    </row>
    <row r="97" spans="1:15" x14ac:dyDescent="0.25">
      <c r="A97" s="30" t="s">
        <v>20</v>
      </c>
      <c r="B97" s="30" t="s">
        <v>20</v>
      </c>
      <c r="C97" s="5" t="s">
        <v>20</v>
      </c>
      <c r="D97" s="4" t="s">
        <v>20</v>
      </c>
      <c r="E97" s="4" t="s">
        <v>20</v>
      </c>
      <c r="F97" s="4" t="s">
        <v>20</v>
      </c>
      <c r="G97" s="4" t="s">
        <v>20</v>
      </c>
      <c r="H97" s="32" t="s">
        <v>20</v>
      </c>
      <c r="I97" s="32" t="s">
        <v>20</v>
      </c>
      <c r="J97" s="32" t="s">
        <v>20</v>
      </c>
      <c r="K97" s="32" t="s">
        <v>20</v>
      </c>
      <c r="L97" s="32" t="s">
        <v>20</v>
      </c>
      <c r="M97" s="4" t="s">
        <v>20</v>
      </c>
      <c r="N97" s="30" t="s">
        <v>20</v>
      </c>
      <c r="O97" s="30" t="s">
        <v>20</v>
      </c>
    </row>
    <row r="98" spans="1:15" x14ac:dyDescent="0.25">
      <c r="A98" s="30" t="s">
        <v>20</v>
      </c>
      <c r="B98" s="30" t="s">
        <v>20</v>
      </c>
      <c r="C98" s="5" t="s">
        <v>20</v>
      </c>
      <c r="D98" s="4" t="s">
        <v>20</v>
      </c>
      <c r="E98" s="4" t="s">
        <v>20</v>
      </c>
      <c r="F98" s="4" t="s">
        <v>20</v>
      </c>
      <c r="G98" s="4" t="s">
        <v>20</v>
      </c>
      <c r="H98" s="32" t="s">
        <v>20</v>
      </c>
      <c r="I98" s="32" t="s">
        <v>20</v>
      </c>
      <c r="J98" s="32" t="s">
        <v>20</v>
      </c>
      <c r="K98" s="32" t="s">
        <v>20</v>
      </c>
      <c r="L98" s="32" t="s">
        <v>20</v>
      </c>
      <c r="M98" s="4" t="s">
        <v>20</v>
      </c>
      <c r="N98" s="30" t="s">
        <v>20</v>
      </c>
      <c r="O98" s="30" t="s">
        <v>20</v>
      </c>
    </row>
    <row r="99" spans="1:15" x14ac:dyDescent="0.25">
      <c r="A99" s="30" t="s">
        <v>20</v>
      </c>
      <c r="B99" s="30" t="s">
        <v>20</v>
      </c>
      <c r="C99" s="5" t="s">
        <v>20</v>
      </c>
      <c r="D99" s="4" t="s">
        <v>20</v>
      </c>
      <c r="E99" s="4" t="s">
        <v>20</v>
      </c>
      <c r="F99" s="4" t="s">
        <v>20</v>
      </c>
      <c r="G99" s="4" t="s">
        <v>20</v>
      </c>
      <c r="H99" s="32" t="s">
        <v>20</v>
      </c>
      <c r="I99" s="32" t="s">
        <v>20</v>
      </c>
      <c r="J99" s="32" t="s">
        <v>20</v>
      </c>
      <c r="K99" s="32" t="s">
        <v>20</v>
      </c>
      <c r="L99" s="32" t="s">
        <v>20</v>
      </c>
      <c r="M99" s="4" t="s">
        <v>20</v>
      </c>
      <c r="N99" s="30" t="s">
        <v>20</v>
      </c>
      <c r="O99" s="30" t="s">
        <v>20</v>
      </c>
    </row>
    <row r="100" spans="1:15" x14ac:dyDescent="0.25">
      <c r="A100" s="30" t="s">
        <v>20</v>
      </c>
      <c r="B100" s="30" t="s">
        <v>20</v>
      </c>
      <c r="C100" s="5" t="s">
        <v>20</v>
      </c>
      <c r="D100" s="4" t="s">
        <v>20</v>
      </c>
      <c r="E100" s="4" t="s">
        <v>20</v>
      </c>
      <c r="F100" s="4" t="s">
        <v>20</v>
      </c>
      <c r="G100" s="4" t="s">
        <v>20</v>
      </c>
      <c r="H100" s="32" t="s">
        <v>20</v>
      </c>
      <c r="I100" s="32" t="s">
        <v>20</v>
      </c>
      <c r="J100" s="32" t="s">
        <v>20</v>
      </c>
      <c r="K100" s="32" t="s">
        <v>20</v>
      </c>
      <c r="L100" s="32" t="s">
        <v>20</v>
      </c>
      <c r="M100" s="4" t="s">
        <v>20</v>
      </c>
      <c r="N100" s="30" t="s">
        <v>20</v>
      </c>
      <c r="O100" s="30" t="s">
        <v>20</v>
      </c>
    </row>
    <row r="101" spans="1:15" x14ac:dyDescent="0.25">
      <c r="A101" s="30" t="s">
        <v>20</v>
      </c>
      <c r="B101" s="30" t="s">
        <v>20</v>
      </c>
      <c r="C101" s="5" t="s">
        <v>20</v>
      </c>
      <c r="D101" s="4" t="s">
        <v>20</v>
      </c>
      <c r="E101" s="4" t="s">
        <v>20</v>
      </c>
      <c r="F101" s="4" t="s">
        <v>20</v>
      </c>
      <c r="G101" s="4" t="s">
        <v>20</v>
      </c>
      <c r="H101" s="32" t="s">
        <v>20</v>
      </c>
      <c r="I101" s="32" t="s">
        <v>20</v>
      </c>
      <c r="J101" s="32" t="s">
        <v>20</v>
      </c>
      <c r="K101" s="32" t="s">
        <v>20</v>
      </c>
      <c r="L101" s="32" t="s">
        <v>20</v>
      </c>
      <c r="M101" s="4" t="s">
        <v>20</v>
      </c>
      <c r="N101" s="30" t="s">
        <v>20</v>
      </c>
      <c r="O101" s="30" t="s">
        <v>20</v>
      </c>
    </row>
    <row r="102" spans="1:15" x14ac:dyDescent="0.25">
      <c r="A102" s="30" t="s">
        <v>20</v>
      </c>
      <c r="B102" s="30" t="s">
        <v>20</v>
      </c>
      <c r="C102" s="5" t="s">
        <v>20</v>
      </c>
      <c r="D102" s="4" t="s">
        <v>20</v>
      </c>
      <c r="E102" s="4" t="s">
        <v>20</v>
      </c>
      <c r="F102" s="4" t="s">
        <v>20</v>
      </c>
      <c r="G102" s="4" t="s">
        <v>20</v>
      </c>
      <c r="H102" s="32" t="s">
        <v>20</v>
      </c>
      <c r="I102" s="32" t="s">
        <v>20</v>
      </c>
      <c r="J102" s="32" t="s">
        <v>20</v>
      </c>
      <c r="K102" s="32" t="s">
        <v>20</v>
      </c>
      <c r="L102" s="32" t="s">
        <v>20</v>
      </c>
      <c r="M102" s="4" t="s">
        <v>20</v>
      </c>
      <c r="N102" s="30" t="s">
        <v>20</v>
      </c>
      <c r="O102" s="30" t="s">
        <v>20</v>
      </c>
    </row>
    <row r="103" spans="1:15" x14ac:dyDescent="0.25">
      <c r="A103" s="30" t="s">
        <v>20</v>
      </c>
      <c r="B103" s="30" t="s">
        <v>20</v>
      </c>
      <c r="C103" s="5" t="s">
        <v>20</v>
      </c>
      <c r="D103" s="4" t="s">
        <v>20</v>
      </c>
      <c r="E103" s="4" t="s">
        <v>20</v>
      </c>
      <c r="F103" s="4" t="s">
        <v>20</v>
      </c>
      <c r="G103" s="4" t="s">
        <v>20</v>
      </c>
      <c r="H103" s="32" t="s">
        <v>20</v>
      </c>
      <c r="I103" s="32" t="s">
        <v>20</v>
      </c>
      <c r="J103" s="32" t="s">
        <v>20</v>
      </c>
      <c r="K103" s="32" t="s">
        <v>20</v>
      </c>
      <c r="L103" s="32" t="s">
        <v>20</v>
      </c>
      <c r="M103" s="4" t="s">
        <v>20</v>
      </c>
      <c r="N103" s="30" t="s">
        <v>20</v>
      </c>
      <c r="O103" s="30" t="s">
        <v>20</v>
      </c>
    </row>
  </sheetData>
  <mergeCells count="2">
    <mergeCell ref="H1:L1"/>
    <mergeCell ref="A2:B2"/>
  </mergeCells>
  <dataValidations count="4">
    <dataValidation type="whole" allowBlank="1" showErrorMessage="1" sqref="C10:C103">
      <formula1>1</formula1>
      <formula2>999</formula2>
    </dataValidation>
    <dataValidation type="whole" allowBlank="1" showErrorMessage="1" sqref="C4:C103">
      <formula1>1</formula1>
      <formula2>999</formula2>
    </dataValidation>
    <dataValidation type="decimal" allowBlank="1" showErrorMessage="1" sqref="H10:L103">
      <formula1>0</formula1>
      <formula2>999999</formula2>
    </dataValidation>
    <dataValidation type="decimal" allowBlank="1" showErrorMessage="1" sqref="H4:L103">
      <formula1>0</formula1>
      <formula2>999999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55"/>
  <sheetViews>
    <sheetView workbookViewId="0" showGridLines="0">
      <pane ySplit="5" topLeftCell="A6" activePane="bottomLeft" state="frozen"/>
      <selection pane="bottomLeft" activeCell="A6" sqref="A6"/>
    </sheetView>
  </sheetViews>
  <sheetFormatPr defaultRowHeight="15" outlineLevelRow="0" outlineLevelCol="0" x14ac:dyDescent="55"/>
  <cols>
    <col min="1" max="5" width="4.285714285714286" customWidth="1"/>
    <col min="6" max="6" width="11.571428571428571" customWidth="1"/>
    <col min="7" max="7" width="20.714285714285715" customWidth="1"/>
    <col min="8" max="8" width="50.714285714285715" customWidth="1"/>
    <col min="9" max="9" width="23" customWidth="1"/>
    <col min="10" max="10" width="26.857142857142858" customWidth="1"/>
    <col min="11" max="15" width="6.714285714285714" customWidth="1"/>
    <col min="16" max="16" width="16.428571428571427" customWidth="1"/>
    <col min="17" max="17" width="15.428571428571429" customWidth="1"/>
    <col min="18" max="18" width="17.857142857142858" customWidth="1"/>
    <col min="19" max="19" width="32.142857142857146" customWidth="1"/>
    <col min="20" max="20" width="59.285714285714285" customWidth="1"/>
    <col min="21" max="25" width="9.285714285714286" customWidth="1"/>
    <col min="26" max="35" width="13.571428571428571" customWidth="1"/>
    <col min="36" max="36" width="36.42857142857143" customWidth="1"/>
  </cols>
  <sheetData>
    <row r="1" spans="1:20" x14ac:dyDescent="0.25">
      <c r="A1" s="1" t="s">
        <v>148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7:18" x14ac:dyDescent="0.25">
      <c r="G2" s="1" t="s">
        <v>149</v>
      </c>
      <c r="J2" s="33" t="s">
        <v>150</v>
      </c>
      <c r="K2" s="34">
        <f>ROUND('02_Capacity'!$E$34,1)</f>
      </c>
      <c r="L2" s="34">
        <f>ROUND('02_Capacity'!$E$27,1)</f>
      </c>
      <c r="M2" s="34">
        <f>ROUND('02_Capacity'!$E$28,1)</f>
      </c>
      <c r="N2" s="34">
        <f>ROUND('02_Capacity'!$E$29,1)</f>
      </c>
      <c r="O2" s="34">
        <f>ROUND('02_Capacity'!$E$30,1)</f>
      </c>
      <c r="Q2" s="1" t="s">
        <v>151</v>
      </c>
      <c r="R2" s="1" t="s">
        <v>152</v>
      </c>
    </row>
    <row r="3" spans="7:18" x14ac:dyDescent="0.25">
      <c r="G3" s="1"/>
      <c r="J3" s="33" t="s">
        <v>153</v>
      </c>
      <c r="K3" s="34">
        <f>ROUND((SUMIFS(tblPlanActive[DE],tblPlanActive[Статус на конец квартала],"&lt;&gt;Отложено"))*(1+IFERROR(IF(AND(ISNUMBER(INDEX(tblPlanningRuleSettings[Значение],MATCH("RESOURCE_BALANCE_RISK_PERCENT",tblPlanningRuleSettings[Код],0))),INDEX(tblPlanningRuleSettings[Значение],MATCH("RESOURCE_BALANCE_RISK_PERCENT",tblPlanningRuleSettings[Код],0))&gt;=0,INDEX(tblPlanningRuleSettings[Значение],MATCH("RESOURCE_BALANCE_RISK_PERCENT",tblPlanningRuleSettings[Код],0))&lt;=1),INDEX(tblPlanningRuleSettings[Значение],MATCH("RESOURCE_BALANCE_RISK_PERCENT",tblPlanningRuleSettings[Код],0)),0.2),0.2)),1)</f>
      </c>
      <c r="L3" s="34">
        <f>ROUND((SUMIFS(tblPlanActive[AN],tblPlanActive[Статус на конец квартала],"&lt;&gt;Отложено"))*(1+IFERROR(IF(AND(ISNUMBER(INDEX(tblPlanningRuleSettings[Значение],MATCH("RESOURCE_BALANCE_RISK_PERCENT",tblPlanningRuleSettings[Код],0))),INDEX(tblPlanningRuleSettings[Значение],MATCH("RESOURCE_BALANCE_RISK_PERCENT",tblPlanningRuleSettings[Код],0))&gt;=0,INDEX(tblPlanningRuleSettings[Значение],MATCH("RESOURCE_BALANCE_RISK_PERCENT",tblPlanningRuleSettings[Код],0))&lt;=1),INDEX(tblPlanningRuleSettings[Значение],MATCH("RESOURCE_BALANCE_RISK_PERCENT",tblPlanningRuleSettings[Код],0)),0.2),0.2)),1)</f>
      </c>
      <c r="M3" s="34">
        <f>ROUND((SUMIFS(tblPlanActive[BE],tblPlanActive[Статус на конец квартала],"&lt;&gt;Готова аналитика",tblPlanActive[Статус на конец квартала],"&lt;&gt;Готова разработка (фронт)",tblPlanActive[Статус на конец квартала],"&lt;&gt;Отложено"))*(1+IFERROR(IF(AND(ISNUMBER(INDEX(tblPlanningRuleSettings[Значение],MATCH("RESOURCE_BALANCE_RISK_PERCENT",tblPlanningRuleSettings[Код],0))),INDEX(tblPlanningRuleSettings[Значение],MATCH("RESOURCE_BALANCE_RISK_PERCENT",tblPlanningRuleSettings[Код],0))&gt;=0,INDEX(tblPlanningRuleSettings[Значение],MATCH("RESOURCE_BALANCE_RISK_PERCENT",tblPlanningRuleSettings[Код],0))&lt;=1),INDEX(tblPlanningRuleSettings[Значение],MATCH("RESOURCE_BALANCE_RISK_PERCENT",tblPlanningRuleSettings[Код],0)),0.2),0.2)),1)</f>
      </c>
      <c r="N3" s="34">
        <f>ROUND((SUMIFS(tblPlanActive[FE],tblPlanActive[Статус на конец квартала],"&lt;&gt;Готова аналитика",tblPlanActive[Статус на конец квартала],"&lt;&gt;Готова разработка (бэк)",tblPlanActive[Статус на конец квартала],"&lt;&gt;Отложено"))*(1+IFERROR(IF(AND(ISNUMBER(INDEX(tblPlanningRuleSettings[Значение],MATCH("RESOURCE_BALANCE_RISK_PERCENT",tblPlanningRuleSettings[Код],0))),INDEX(tblPlanningRuleSettings[Значение],MATCH("RESOURCE_BALANCE_RISK_PERCENT",tblPlanningRuleSettings[Код],0))&gt;=0,INDEX(tblPlanningRuleSettings[Значение],MATCH("RESOURCE_BALANCE_RISK_PERCENT",tblPlanningRuleSettings[Код],0))&lt;=1),INDEX(tblPlanningRuleSettings[Значение],MATCH("RESOURCE_BALANCE_RISK_PERCENT",tblPlanningRuleSettings[Код],0)),0.2),0.2)),1)</f>
      </c>
      <c r="O3" s="34">
        <f>ROUND((SUMIFS(tblPlanActive[QA],tblPlanActive[Статус на конец квартала],"&lt;&gt;Готова аналитика",tblPlanActive[Статус на конец квартала],"&lt;&gt;Готова разработка",tblPlanActive[Статус на конец квартала],"&lt;&gt;Готова разработка (бэк)",tblPlanActive[Статус на конец квартала],"&lt;&gt;Готова разработка (фронт)",tblPlanActive[Статус на конец квартала],"&lt;&gt;Отложено"))*(1+IFERROR(IF(AND(ISNUMBER(INDEX(tblPlanningRuleSettings[Значение],MATCH("RESOURCE_BALANCE_RISK_PERCENT",tblPlanningRuleSettings[Код],0))),INDEX(tblPlanningRuleSettings[Значение],MATCH("RESOURCE_BALANCE_RISK_PERCENT",tblPlanningRuleSettings[Код],0))&gt;=0,INDEX(tblPlanningRuleSettings[Значение],MATCH("RESOURCE_BALANCE_RISK_PERCENT",tblPlanningRuleSettings[Код],0))&lt;=1),INDEX(tblPlanningRuleSettings[Значение],MATCH("RESOURCE_BALANCE_RISK_PERCENT",tblPlanningRuleSettings[Код],0)),0.2),0.2)),1)</f>
      </c>
      <c r="Q3" s="1"/>
      <c r="R3" s="1"/>
    </row>
    <row r="4" spans="7:18" x14ac:dyDescent="0.25">
      <c r="G4" s="1"/>
      <c r="I4" s="30" t="s">
        <v>109</v>
      </c>
      <c r="J4" s="33" t="s">
        <v>154</v>
      </c>
      <c r="K4" s="34">
        <f>ROUND('02_Capacity'!$E$34-(SUMIFS(tblPlanActive[DE],tblPlanActive[Статус на конец квартала],"&lt;&gt;Отложено"))*(1+IFERROR(IF(AND(ISNUMBER(INDEX(tblPlanningRuleSettings[Значение],MATCH("RESOURCE_BALANCE_RISK_PERCENT",tblPlanningRuleSettings[Код],0))),INDEX(tblPlanningRuleSettings[Значение],MATCH("RESOURCE_BALANCE_RISK_PERCENT",tblPlanningRuleSettings[Код],0))&gt;=0,INDEX(tblPlanningRuleSettings[Значение],MATCH("RESOURCE_BALANCE_RISK_PERCENT",tblPlanningRuleSettings[Код],0))&lt;=1),INDEX(tblPlanningRuleSettings[Значение],MATCH("RESOURCE_BALANCE_RISK_PERCENT",tblPlanningRuleSettings[Код],0)),0.2),0.2)),1)</f>
      </c>
      <c r="L4" s="34">
        <f>ROUND('02_Capacity'!$E$27-(SUMIFS(tblPlanActive[AN],tblPlanActive[Статус на конец квартала],"&lt;&gt;Отложено"))*(1+IFERROR(IF(AND(ISNUMBER(INDEX(tblPlanningRuleSettings[Значение],MATCH("RESOURCE_BALANCE_RISK_PERCENT",tblPlanningRuleSettings[Код],0))),INDEX(tblPlanningRuleSettings[Значение],MATCH("RESOURCE_BALANCE_RISK_PERCENT",tblPlanningRuleSettings[Код],0))&gt;=0,INDEX(tblPlanningRuleSettings[Значение],MATCH("RESOURCE_BALANCE_RISK_PERCENT",tblPlanningRuleSettings[Код],0))&lt;=1),INDEX(tblPlanningRuleSettings[Значение],MATCH("RESOURCE_BALANCE_RISK_PERCENT",tblPlanningRuleSettings[Код],0)),0.2),0.2)),1)</f>
      </c>
      <c r="M4" s="34">
        <f>ROUND('02_Capacity'!$E$28-(SUMIFS(tblPlanActive[BE],tblPlanActive[Статус на конец квартала],"&lt;&gt;Готова аналитика",tblPlanActive[Статус на конец квартала],"&lt;&gt;Готова разработка (фронт)",tblPlanActive[Статус на конец квартала],"&lt;&gt;Отложено"))*(1+IFERROR(IF(AND(ISNUMBER(INDEX(tblPlanningRuleSettings[Значение],MATCH("RESOURCE_BALANCE_RISK_PERCENT",tblPlanningRuleSettings[Код],0))),INDEX(tblPlanningRuleSettings[Значение],MATCH("RESOURCE_BALANCE_RISK_PERCENT",tblPlanningRuleSettings[Код],0))&gt;=0,INDEX(tblPlanningRuleSettings[Значение],MATCH("RESOURCE_BALANCE_RISK_PERCENT",tblPlanningRuleSettings[Код],0))&lt;=1),INDEX(tblPlanningRuleSettings[Значение],MATCH("RESOURCE_BALANCE_RISK_PERCENT",tblPlanningRuleSettings[Код],0)),0.2),0.2)),1)</f>
      </c>
      <c r="N4" s="34">
        <f>ROUND('02_Capacity'!$E$29-(SUMIFS(tblPlanActive[FE],tblPlanActive[Статус на конец квартала],"&lt;&gt;Готова аналитика",tblPlanActive[Статус на конец квартала],"&lt;&gt;Готова разработка (бэк)",tblPlanActive[Статус на конец квартала],"&lt;&gt;Отложено"))*(1+IFERROR(IF(AND(ISNUMBER(INDEX(tblPlanningRuleSettings[Значение],MATCH("RESOURCE_BALANCE_RISK_PERCENT",tblPlanningRuleSettings[Код],0))),INDEX(tblPlanningRuleSettings[Значение],MATCH("RESOURCE_BALANCE_RISK_PERCENT",tblPlanningRuleSettings[Код],0))&gt;=0,INDEX(tblPlanningRuleSettings[Значение],MATCH("RESOURCE_BALANCE_RISK_PERCENT",tblPlanningRuleSettings[Код],0))&lt;=1),INDEX(tblPlanningRuleSettings[Значение],MATCH("RESOURCE_BALANCE_RISK_PERCENT",tblPlanningRuleSettings[Код],0)),0.2),0.2)),1)</f>
      </c>
      <c r="O4" s="34">
        <f>ROUND('02_Capacity'!$E$30-(SUMIFS(tblPlanActive[QA],tblPlanActive[Статус на конец квартала],"&lt;&gt;Готова аналитика",tblPlanActive[Статус на конец квартала],"&lt;&gt;Готова разработка",tblPlanActive[Статус на конец квартала],"&lt;&gt;Готова разработка (бэк)",tblPlanActive[Статус на конец квартала],"&lt;&gt;Готова разработка (фронт)",tblPlanActive[Статус на конец квартала],"&lt;&gt;Отложено"))*(1+IFERROR(IF(AND(ISNUMBER(INDEX(tblPlanningRuleSettings[Значение],MATCH("RESOURCE_BALANCE_RISK_PERCENT",tblPlanningRuleSettings[Код],0))),INDEX(tblPlanningRuleSettings[Значение],MATCH("RESOURCE_BALANCE_RISK_PERCENT",tblPlanningRuleSettings[Код],0))&gt;=0,INDEX(tblPlanningRuleSettings[Значение],MATCH("RESOURCE_BALANCE_RISK_PERCENT",tblPlanningRuleSettings[Код],0))&lt;=1),INDEX(tblPlanningRuleSettings[Значение],MATCH("RESOURCE_BALANCE_RISK_PERCENT",tblPlanningRuleSettings[Код],0)),0.2),0.2)),1)</f>
      </c>
      <c r="Q4" s="1"/>
      <c r="R4" s="1"/>
    </row>
    <row r="5" spans="1:36" x14ac:dyDescent="0.25">
      <c r="A5" s="35" t="s">
        <v>122</v>
      </c>
      <c r="B5" s="35" t="s">
        <v>155</v>
      </c>
      <c r="C5" s="35" t="s">
        <v>156</v>
      </c>
      <c r="D5" s="35" t="s">
        <v>157</v>
      </c>
      <c r="E5" s="35" t="s">
        <v>158</v>
      </c>
      <c r="F5" s="2" t="s">
        <v>112</v>
      </c>
      <c r="G5" s="2" t="s">
        <v>113</v>
      </c>
      <c r="H5" s="2" t="s">
        <v>114</v>
      </c>
      <c r="I5" s="2" t="s">
        <v>115</v>
      </c>
      <c r="J5" s="2" t="s">
        <v>116</v>
      </c>
      <c r="K5" s="2" t="s">
        <v>117</v>
      </c>
      <c r="L5" s="2" t="s">
        <v>118</v>
      </c>
      <c r="M5" s="2" t="s">
        <v>119</v>
      </c>
      <c r="N5" s="2" t="s">
        <v>120</v>
      </c>
      <c r="O5" s="2" t="s">
        <v>121</v>
      </c>
      <c r="P5" s="2" t="s">
        <v>159</v>
      </c>
      <c r="Q5" s="2" t="s">
        <v>160</v>
      </c>
      <c r="R5" s="2" t="s">
        <v>161</v>
      </c>
      <c r="S5" s="2" t="s">
        <v>162</v>
      </c>
      <c r="T5" s="2" t="s">
        <v>3</v>
      </c>
      <c r="U5" s="2" t="s">
        <v>163</v>
      </c>
      <c r="V5" s="2" t="s">
        <v>164</v>
      </c>
      <c r="W5" s="2" t="s">
        <v>165</v>
      </c>
      <c r="X5" s="2" t="s">
        <v>166</v>
      </c>
      <c r="Y5" s="2" t="s">
        <v>167</v>
      </c>
      <c r="Z5" s="2" t="s">
        <v>168</v>
      </c>
      <c r="AA5" s="2" t="s">
        <v>169</v>
      </c>
      <c r="AB5" s="2" t="s">
        <v>170</v>
      </c>
      <c r="AC5" s="2" t="s">
        <v>171</v>
      </c>
      <c r="AD5" s="2" t="s">
        <v>172</v>
      </c>
      <c r="AE5" s="2" t="s">
        <v>173</v>
      </c>
      <c r="AF5" s="2" t="s">
        <v>174</v>
      </c>
      <c r="AG5" s="2" t="s">
        <v>175</v>
      </c>
      <c r="AH5" s="2" t="s">
        <v>176</v>
      </c>
      <c r="AI5" s="2" t="s">
        <v>177</v>
      </c>
      <c r="AJ5" s="2" t="s">
        <v>178</v>
      </c>
    </row>
    <row r="6" spans="1:36" x14ac:dyDescent="0.25">
      <c r="A6" s="36" t="s">
        <v>20</v>
      </c>
      <c r="B6" s="36" t="s">
        <v>20</v>
      </c>
      <c r="C6" s="36" t="s">
        <v>20</v>
      </c>
      <c r="D6" s="36" t="s">
        <v>20</v>
      </c>
      <c r="E6" s="36" t="s">
        <v>20</v>
      </c>
      <c r="F6" s="37" t="s">
        <v>20</v>
      </c>
      <c r="G6" s="38" t="s">
        <v>20</v>
      </c>
      <c r="H6" s="38" t="s">
        <v>20</v>
      </c>
      <c r="I6" s="38" t="s">
        <v>20</v>
      </c>
      <c r="J6" s="38" t="s">
        <v>20</v>
      </c>
      <c r="K6" s="39" t="s">
        <v>20</v>
      </c>
      <c r="L6" s="39" t="s">
        <v>20</v>
      </c>
      <c r="M6" s="39" t="s">
        <v>20</v>
      </c>
      <c r="N6" s="39" t="s">
        <v>20</v>
      </c>
      <c r="O6" s="39" t="s">
        <v>20</v>
      </c>
      <c r="P6" s="40">
        <f>IF(COUNTA(G6:O6)=0,"",IFERROR(IF(K6="",0,CEILING(K6/'02_Capacity'!$E$25,1))+IF(L6="",0,CEILING(L6/'02_Capacity'!$E$20,1))+IF(M6="",0,CEILING(M6/'02_Capacity'!$E$20,1))+IF(N6="",0,CEILING(N6/'02_Capacity'!$E$20,1))+IF(O6="",0,CEILING(O6/'02_Capacity'!$E$20,1)),""))</f>
      </c>
      <c r="Q6" s="41" t="s">
        <v>20</v>
      </c>
      <c r="R6" s="38" t="s">
        <v>20</v>
      </c>
      <c r="S6" s="38" t="s">
        <v>20</v>
      </c>
      <c r="T6" s="38" t="s">
        <v>20</v>
      </c>
      <c r="U6" s="31"/>
      <c r="V6" s="31"/>
      <c r="W6" s="31"/>
      <c r="X6" s="31"/>
      <c r="Y6" s="31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9"/>
    </row>
    <row r="7" spans="1:36" x14ac:dyDescent="0.25">
      <c r="A7" s="36" t="s">
        <v>20</v>
      </c>
      <c r="B7" s="36" t="s">
        <v>20</v>
      </c>
      <c r="C7" s="36" t="s">
        <v>20</v>
      </c>
      <c r="D7" s="36" t="s">
        <v>20</v>
      </c>
      <c r="E7" s="36" t="s">
        <v>20</v>
      </c>
      <c r="F7" s="37" t="s">
        <v>20</v>
      </c>
      <c r="G7" s="38" t="s">
        <v>20</v>
      </c>
      <c r="H7" s="38" t="s">
        <v>20</v>
      </c>
      <c r="I7" s="38" t="s">
        <v>20</v>
      </c>
      <c r="J7" s="38" t="s">
        <v>20</v>
      </c>
      <c r="K7" s="39" t="s">
        <v>20</v>
      </c>
      <c r="L7" s="39" t="s">
        <v>20</v>
      </c>
      <c r="M7" s="39" t="s">
        <v>20</v>
      </c>
      <c r="N7" s="39" t="s">
        <v>20</v>
      </c>
      <c r="O7" s="39" t="s">
        <v>20</v>
      </c>
      <c r="P7" s="40">
        <f>IF(COUNTA(G7:O7)=0,"",IFERROR(IF(K7="",0,CEILING(K7/'02_Capacity'!$E$25,1))+IF(L7="",0,CEILING(L7/'02_Capacity'!$E$20,1))+IF(M7="",0,CEILING(M7/'02_Capacity'!$E$20,1))+IF(N7="",0,CEILING(N7/'02_Capacity'!$E$20,1))+IF(O7="",0,CEILING(O7/'02_Capacity'!$E$20,1)),""))</f>
      </c>
      <c r="Q7" s="41" t="s">
        <v>20</v>
      </c>
      <c r="R7" s="38" t="s">
        <v>20</v>
      </c>
      <c r="S7" s="38" t="s">
        <v>20</v>
      </c>
      <c r="T7" s="38" t="s">
        <v>20</v>
      </c>
      <c r="U7" s="31"/>
      <c r="V7" s="31"/>
      <c r="W7" s="31"/>
      <c r="X7" s="31"/>
      <c r="Y7" s="31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9"/>
    </row>
    <row r="8" spans="1:36" x14ac:dyDescent="0.25">
      <c r="A8" s="36" t="s">
        <v>20</v>
      </c>
      <c r="B8" s="36" t="s">
        <v>20</v>
      </c>
      <c r="C8" s="36" t="s">
        <v>20</v>
      </c>
      <c r="D8" s="36" t="s">
        <v>20</v>
      </c>
      <c r="E8" s="36" t="s">
        <v>20</v>
      </c>
      <c r="F8" s="37" t="s">
        <v>20</v>
      </c>
      <c r="G8" s="38" t="s">
        <v>20</v>
      </c>
      <c r="H8" s="38" t="s">
        <v>20</v>
      </c>
      <c r="I8" s="38" t="s">
        <v>20</v>
      </c>
      <c r="J8" s="38" t="s">
        <v>20</v>
      </c>
      <c r="K8" s="39" t="s">
        <v>20</v>
      </c>
      <c r="L8" s="39" t="s">
        <v>20</v>
      </c>
      <c r="M8" s="39" t="s">
        <v>20</v>
      </c>
      <c r="N8" s="39" t="s">
        <v>20</v>
      </c>
      <c r="O8" s="39" t="s">
        <v>20</v>
      </c>
      <c r="P8" s="40">
        <f>IF(COUNTA(G8:O8)=0,"",IFERROR(IF(K8="",0,CEILING(K8/'02_Capacity'!$E$25,1))+IF(L8="",0,CEILING(L8/'02_Capacity'!$E$20,1))+IF(M8="",0,CEILING(M8/'02_Capacity'!$E$20,1))+IF(N8="",0,CEILING(N8/'02_Capacity'!$E$20,1))+IF(O8="",0,CEILING(O8/'02_Capacity'!$E$20,1)),""))</f>
      </c>
      <c r="Q8" s="41" t="s">
        <v>20</v>
      </c>
      <c r="R8" s="38" t="s">
        <v>20</v>
      </c>
      <c r="S8" s="38" t="s">
        <v>20</v>
      </c>
      <c r="T8" s="38" t="s">
        <v>20</v>
      </c>
      <c r="U8" s="31"/>
      <c r="V8" s="31"/>
      <c r="W8" s="31"/>
      <c r="X8" s="31"/>
      <c r="Y8" s="31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9"/>
    </row>
    <row r="9" spans="1:36" x14ac:dyDescent="0.25">
      <c r="A9" s="36" t="s">
        <v>20</v>
      </c>
      <c r="B9" s="36" t="s">
        <v>20</v>
      </c>
      <c r="C9" s="36" t="s">
        <v>20</v>
      </c>
      <c r="D9" s="36" t="s">
        <v>20</v>
      </c>
      <c r="E9" s="36" t="s">
        <v>20</v>
      </c>
      <c r="F9" s="37" t="s">
        <v>20</v>
      </c>
      <c r="G9" s="38" t="s">
        <v>20</v>
      </c>
      <c r="H9" s="38" t="s">
        <v>20</v>
      </c>
      <c r="I9" s="38" t="s">
        <v>20</v>
      </c>
      <c r="J9" s="38" t="s">
        <v>20</v>
      </c>
      <c r="K9" s="39" t="s">
        <v>20</v>
      </c>
      <c r="L9" s="39" t="s">
        <v>20</v>
      </c>
      <c r="M9" s="39" t="s">
        <v>20</v>
      </c>
      <c r="N9" s="39" t="s">
        <v>20</v>
      </c>
      <c r="O9" s="39" t="s">
        <v>20</v>
      </c>
      <c r="P9" s="40">
        <f>IF(COUNTA(G9:O9)=0,"",IFERROR(IF(K9="",0,CEILING(K9/'02_Capacity'!$E$25,1))+IF(L9="",0,CEILING(L9/'02_Capacity'!$E$20,1))+IF(M9="",0,CEILING(M9/'02_Capacity'!$E$20,1))+IF(N9="",0,CEILING(N9/'02_Capacity'!$E$20,1))+IF(O9="",0,CEILING(O9/'02_Capacity'!$E$20,1)),""))</f>
      </c>
      <c r="Q9" s="41" t="s">
        <v>20</v>
      </c>
      <c r="R9" s="38" t="s">
        <v>20</v>
      </c>
      <c r="S9" s="38" t="s">
        <v>20</v>
      </c>
      <c r="T9" s="38" t="s">
        <v>20</v>
      </c>
      <c r="U9" s="31"/>
      <c r="V9" s="31"/>
      <c r="W9" s="31"/>
      <c r="X9" s="31"/>
      <c r="Y9" s="31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9"/>
    </row>
    <row r="10" spans="1:36" x14ac:dyDescent="0.25">
      <c r="A10" s="36" t="s">
        <v>20</v>
      </c>
      <c r="B10" s="36" t="s">
        <v>20</v>
      </c>
      <c r="C10" s="36" t="s">
        <v>20</v>
      </c>
      <c r="D10" s="36" t="s">
        <v>20</v>
      </c>
      <c r="E10" s="36" t="s">
        <v>20</v>
      </c>
      <c r="F10" s="37" t="s">
        <v>20</v>
      </c>
      <c r="G10" s="38" t="s">
        <v>20</v>
      </c>
      <c r="H10" s="38" t="s">
        <v>20</v>
      </c>
      <c r="I10" s="38" t="s">
        <v>20</v>
      </c>
      <c r="J10" s="38" t="s">
        <v>20</v>
      </c>
      <c r="K10" s="39" t="s">
        <v>20</v>
      </c>
      <c r="L10" s="39" t="s">
        <v>20</v>
      </c>
      <c r="M10" s="39" t="s">
        <v>20</v>
      </c>
      <c r="N10" s="39" t="s">
        <v>20</v>
      </c>
      <c r="O10" s="39" t="s">
        <v>20</v>
      </c>
      <c r="P10" s="40">
        <f>IF(COUNTA(G10:O10)=0,"",IFERROR(IF(K10="",0,CEILING(K10/'02_Capacity'!$E$25,1))+IF(L10="",0,CEILING(L10/'02_Capacity'!$E$20,1))+IF(M10="",0,CEILING(M10/'02_Capacity'!$E$20,1))+IF(N10="",0,CEILING(N10/'02_Capacity'!$E$20,1))+IF(O10="",0,CEILING(O10/'02_Capacity'!$E$20,1)),""))</f>
      </c>
      <c r="Q10" s="41" t="s">
        <v>20</v>
      </c>
      <c r="R10" s="38" t="s">
        <v>20</v>
      </c>
      <c r="S10" s="38" t="s">
        <v>20</v>
      </c>
      <c r="T10" s="38" t="s">
        <v>20</v>
      </c>
      <c r="U10" s="31"/>
      <c r="V10" s="31"/>
      <c r="W10" s="31"/>
      <c r="X10" s="31"/>
      <c r="Y10" s="31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9"/>
    </row>
    <row r="11" spans="1:36" x14ac:dyDescent="0.25">
      <c r="A11" s="36" t="s">
        <v>20</v>
      </c>
      <c r="B11" s="36" t="s">
        <v>20</v>
      </c>
      <c r="C11" s="36" t="s">
        <v>20</v>
      </c>
      <c r="D11" s="36" t="s">
        <v>20</v>
      </c>
      <c r="E11" s="36" t="s">
        <v>20</v>
      </c>
      <c r="F11" s="37" t="s">
        <v>20</v>
      </c>
      <c r="G11" s="38" t="s">
        <v>20</v>
      </c>
      <c r="H11" s="38" t="s">
        <v>20</v>
      </c>
      <c r="I11" s="38" t="s">
        <v>20</v>
      </c>
      <c r="J11" s="38" t="s">
        <v>20</v>
      </c>
      <c r="K11" s="39" t="s">
        <v>20</v>
      </c>
      <c r="L11" s="39" t="s">
        <v>20</v>
      </c>
      <c r="M11" s="39" t="s">
        <v>20</v>
      </c>
      <c r="N11" s="39" t="s">
        <v>20</v>
      </c>
      <c r="O11" s="39" t="s">
        <v>20</v>
      </c>
      <c r="P11" s="40">
        <f>IF(COUNTA(G11:O11)=0,"",IFERROR(IF(K11="",0,CEILING(K11/'02_Capacity'!$E$25,1))+IF(L11="",0,CEILING(L11/'02_Capacity'!$E$20,1))+IF(M11="",0,CEILING(M11/'02_Capacity'!$E$20,1))+IF(N11="",0,CEILING(N11/'02_Capacity'!$E$20,1))+IF(O11="",0,CEILING(O11/'02_Capacity'!$E$20,1)),""))</f>
      </c>
      <c r="Q11" s="41" t="s">
        <v>20</v>
      </c>
      <c r="R11" s="38" t="s">
        <v>20</v>
      </c>
      <c r="S11" s="38" t="s">
        <v>20</v>
      </c>
      <c r="T11" s="38" t="s">
        <v>20</v>
      </c>
      <c r="U11" s="31"/>
      <c r="V11" s="31"/>
      <c r="W11" s="31"/>
      <c r="X11" s="31"/>
      <c r="Y11" s="31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9"/>
    </row>
    <row r="12" spans="1:36" x14ac:dyDescent="0.25">
      <c r="A12" s="36" t="s">
        <v>20</v>
      </c>
      <c r="B12" s="36" t="s">
        <v>20</v>
      </c>
      <c r="C12" s="36" t="s">
        <v>20</v>
      </c>
      <c r="D12" s="36" t="s">
        <v>20</v>
      </c>
      <c r="E12" s="36" t="s">
        <v>20</v>
      </c>
      <c r="F12" s="37" t="s">
        <v>20</v>
      </c>
      <c r="G12" s="38" t="s">
        <v>20</v>
      </c>
      <c r="H12" s="38" t="s">
        <v>20</v>
      </c>
      <c r="I12" s="38" t="s">
        <v>20</v>
      </c>
      <c r="J12" s="38" t="s">
        <v>20</v>
      </c>
      <c r="K12" s="39" t="s">
        <v>20</v>
      </c>
      <c r="L12" s="39" t="s">
        <v>20</v>
      </c>
      <c r="M12" s="39" t="s">
        <v>20</v>
      </c>
      <c r="N12" s="39" t="s">
        <v>20</v>
      </c>
      <c r="O12" s="39" t="s">
        <v>20</v>
      </c>
      <c r="P12" s="40">
        <f>IF(COUNTA(G12:O12)=0,"",IFERROR(IF(K12="",0,CEILING(K12/'02_Capacity'!$E$25,1))+IF(L12="",0,CEILING(L12/'02_Capacity'!$E$20,1))+IF(M12="",0,CEILING(M12/'02_Capacity'!$E$20,1))+IF(N12="",0,CEILING(N12/'02_Capacity'!$E$20,1))+IF(O12="",0,CEILING(O12/'02_Capacity'!$E$20,1)),""))</f>
      </c>
      <c r="Q12" s="41" t="s">
        <v>20</v>
      </c>
      <c r="R12" s="38" t="s">
        <v>20</v>
      </c>
      <c r="S12" s="38" t="s">
        <v>20</v>
      </c>
      <c r="T12" s="38" t="s">
        <v>20</v>
      </c>
      <c r="U12" s="31"/>
      <c r="V12" s="31"/>
      <c r="W12" s="31"/>
      <c r="X12" s="31"/>
      <c r="Y12" s="31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9"/>
    </row>
    <row r="13" spans="1:36" x14ac:dyDescent="0.25">
      <c r="A13" s="36" t="s">
        <v>20</v>
      </c>
      <c r="B13" s="36" t="s">
        <v>20</v>
      </c>
      <c r="C13" s="36" t="s">
        <v>20</v>
      </c>
      <c r="D13" s="36" t="s">
        <v>20</v>
      </c>
      <c r="E13" s="36" t="s">
        <v>20</v>
      </c>
      <c r="F13" s="37" t="s">
        <v>20</v>
      </c>
      <c r="G13" s="38" t="s">
        <v>20</v>
      </c>
      <c r="H13" s="38" t="s">
        <v>20</v>
      </c>
      <c r="I13" s="38" t="s">
        <v>20</v>
      </c>
      <c r="J13" s="38" t="s">
        <v>20</v>
      </c>
      <c r="K13" s="39" t="s">
        <v>20</v>
      </c>
      <c r="L13" s="39" t="s">
        <v>20</v>
      </c>
      <c r="M13" s="39" t="s">
        <v>20</v>
      </c>
      <c r="N13" s="39" t="s">
        <v>20</v>
      </c>
      <c r="O13" s="39" t="s">
        <v>20</v>
      </c>
      <c r="P13" s="40">
        <f>IF(COUNTA(G13:O13)=0,"",IFERROR(IF(K13="",0,CEILING(K13/'02_Capacity'!$E$25,1))+IF(L13="",0,CEILING(L13/'02_Capacity'!$E$20,1))+IF(M13="",0,CEILING(M13/'02_Capacity'!$E$20,1))+IF(N13="",0,CEILING(N13/'02_Capacity'!$E$20,1))+IF(O13="",0,CEILING(O13/'02_Capacity'!$E$20,1)),""))</f>
      </c>
      <c r="Q13" s="41" t="s">
        <v>20</v>
      </c>
      <c r="R13" s="38" t="s">
        <v>20</v>
      </c>
      <c r="S13" s="38" t="s">
        <v>20</v>
      </c>
      <c r="T13" s="38" t="s">
        <v>20</v>
      </c>
      <c r="U13" s="31"/>
      <c r="V13" s="31"/>
      <c r="W13" s="31"/>
      <c r="X13" s="31"/>
      <c r="Y13" s="31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9"/>
    </row>
    <row r="14" spans="1:36" x14ac:dyDescent="0.25">
      <c r="A14" s="36" t="s">
        <v>20</v>
      </c>
      <c r="B14" s="36" t="s">
        <v>20</v>
      </c>
      <c r="C14" s="36" t="s">
        <v>20</v>
      </c>
      <c r="D14" s="36" t="s">
        <v>20</v>
      </c>
      <c r="E14" s="36" t="s">
        <v>20</v>
      </c>
      <c r="F14" s="37" t="s">
        <v>20</v>
      </c>
      <c r="G14" s="38" t="s">
        <v>20</v>
      </c>
      <c r="H14" s="38" t="s">
        <v>20</v>
      </c>
      <c r="I14" s="38" t="s">
        <v>20</v>
      </c>
      <c r="J14" s="38" t="s">
        <v>20</v>
      </c>
      <c r="K14" s="39" t="s">
        <v>20</v>
      </c>
      <c r="L14" s="39" t="s">
        <v>20</v>
      </c>
      <c r="M14" s="39" t="s">
        <v>20</v>
      </c>
      <c r="N14" s="39" t="s">
        <v>20</v>
      </c>
      <c r="O14" s="39" t="s">
        <v>20</v>
      </c>
      <c r="P14" s="40">
        <f>IF(COUNTA(G14:O14)=0,"",IFERROR(IF(K14="",0,CEILING(K14/'02_Capacity'!$E$25,1))+IF(L14="",0,CEILING(L14/'02_Capacity'!$E$20,1))+IF(M14="",0,CEILING(M14/'02_Capacity'!$E$20,1))+IF(N14="",0,CEILING(N14/'02_Capacity'!$E$20,1))+IF(O14="",0,CEILING(O14/'02_Capacity'!$E$20,1)),""))</f>
      </c>
      <c r="Q14" s="41" t="s">
        <v>20</v>
      </c>
      <c r="R14" s="38" t="s">
        <v>20</v>
      </c>
      <c r="S14" s="38" t="s">
        <v>20</v>
      </c>
      <c r="T14" s="38" t="s">
        <v>20</v>
      </c>
      <c r="U14" s="31"/>
      <c r="V14" s="31"/>
      <c r="W14" s="31"/>
      <c r="X14" s="31"/>
      <c r="Y14" s="31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9"/>
    </row>
    <row r="15" spans="1:36" x14ac:dyDescent="0.25">
      <c r="A15" s="36" t="s">
        <v>20</v>
      </c>
      <c r="B15" s="36" t="s">
        <v>20</v>
      </c>
      <c r="C15" s="36" t="s">
        <v>20</v>
      </c>
      <c r="D15" s="36" t="s">
        <v>20</v>
      </c>
      <c r="E15" s="36" t="s">
        <v>20</v>
      </c>
      <c r="F15" s="37" t="s">
        <v>20</v>
      </c>
      <c r="G15" s="38" t="s">
        <v>20</v>
      </c>
      <c r="H15" s="38" t="s">
        <v>20</v>
      </c>
      <c r="I15" s="38" t="s">
        <v>20</v>
      </c>
      <c r="J15" s="38" t="s">
        <v>20</v>
      </c>
      <c r="K15" s="39" t="s">
        <v>20</v>
      </c>
      <c r="L15" s="39" t="s">
        <v>20</v>
      </c>
      <c r="M15" s="39" t="s">
        <v>20</v>
      </c>
      <c r="N15" s="39" t="s">
        <v>20</v>
      </c>
      <c r="O15" s="39" t="s">
        <v>20</v>
      </c>
      <c r="P15" s="40">
        <f>IF(COUNTA(G15:O15)=0,"",IFERROR(IF(K15="",0,CEILING(K15/'02_Capacity'!$E$25,1))+IF(L15="",0,CEILING(L15/'02_Capacity'!$E$20,1))+IF(M15="",0,CEILING(M15/'02_Capacity'!$E$20,1))+IF(N15="",0,CEILING(N15/'02_Capacity'!$E$20,1))+IF(O15="",0,CEILING(O15/'02_Capacity'!$E$20,1)),""))</f>
      </c>
      <c r="Q15" s="41" t="s">
        <v>20</v>
      </c>
      <c r="R15" s="38" t="s">
        <v>20</v>
      </c>
      <c r="S15" s="38" t="s">
        <v>20</v>
      </c>
      <c r="T15" s="38" t="s">
        <v>20</v>
      </c>
      <c r="U15" s="31"/>
      <c r="V15" s="31"/>
      <c r="W15" s="31"/>
      <c r="X15" s="31"/>
      <c r="Y15" s="31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9"/>
    </row>
    <row r="16" spans="1:36" x14ac:dyDescent="0.25">
      <c r="A16" s="36" t="s">
        <v>20</v>
      </c>
      <c r="B16" s="36" t="s">
        <v>20</v>
      </c>
      <c r="C16" s="36" t="s">
        <v>20</v>
      </c>
      <c r="D16" s="36" t="s">
        <v>20</v>
      </c>
      <c r="E16" s="36" t="s">
        <v>20</v>
      </c>
      <c r="F16" s="37" t="s">
        <v>20</v>
      </c>
      <c r="G16" s="38" t="s">
        <v>20</v>
      </c>
      <c r="H16" s="38" t="s">
        <v>20</v>
      </c>
      <c r="I16" s="38" t="s">
        <v>20</v>
      </c>
      <c r="J16" s="38" t="s">
        <v>20</v>
      </c>
      <c r="K16" s="39" t="s">
        <v>20</v>
      </c>
      <c r="L16" s="39" t="s">
        <v>20</v>
      </c>
      <c r="M16" s="39" t="s">
        <v>20</v>
      </c>
      <c r="N16" s="39" t="s">
        <v>20</v>
      </c>
      <c r="O16" s="39" t="s">
        <v>20</v>
      </c>
      <c r="P16" s="40">
        <f>IF(COUNTA(G16:O16)=0,"",IFERROR(IF(K16="",0,CEILING(K16/'02_Capacity'!$E$25,1))+IF(L16="",0,CEILING(L16/'02_Capacity'!$E$20,1))+IF(M16="",0,CEILING(M16/'02_Capacity'!$E$20,1))+IF(N16="",0,CEILING(N16/'02_Capacity'!$E$20,1))+IF(O16="",0,CEILING(O16/'02_Capacity'!$E$20,1)),""))</f>
      </c>
      <c r="Q16" s="41" t="s">
        <v>20</v>
      </c>
      <c r="R16" s="38" t="s">
        <v>20</v>
      </c>
      <c r="S16" s="38" t="s">
        <v>20</v>
      </c>
      <c r="T16" s="38" t="s">
        <v>20</v>
      </c>
      <c r="U16" s="31"/>
      <c r="V16" s="31"/>
      <c r="W16" s="31"/>
      <c r="X16" s="31"/>
      <c r="Y16" s="31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9"/>
    </row>
    <row r="17" spans="1:36" x14ac:dyDescent="0.25">
      <c r="A17" s="36" t="s">
        <v>20</v>
      </c>
      <c r="B17" s="36" t="s">
        <v>20</v>
      </c>
      <c r="C17" s="36" t="s">
        <v>20</v>
      </c>
      <c r="D17" s="36" t="s">
        <v>20</v>
      </c>
      <c r="E17" s="36" t="s">
        <v>20</v>
      </c>
      <c r="F17" s="37" t="s">
        <v>20</v>
      </c>
      <c r="G17" s="38" t="s">
        <v>20</v>
      </c>
      <c r="H17" s="38" t="s">
        <v>20</v>
      </c>
      <c r="I17" s="38" t="s">
        <v>20</v>
      </c>
      <c r="J17" s="38" t="s">
        <v>20</v>
      </c>
      <c r="K17" s="39" t="s">
        <v>20</v>
      </c>
      <c r="L17" s="39" t="s">
        <v>20</v>
      </c>
      <c r="M17" s="39" t="s">
        <v>20</v>
      </c>
      <c r="N17" s="39" t="s">
        <v>20</v>
      </c>
      <c r="O17" s="39" t="s">
        <v>20</v>
      </c>
      <c r="P17" s="40">
        <f>IF(COUNTA(G17:O17)=0,"",IFERROR(IF(K17="",0,CEILING(K17/'02_Capacity'!$E$25,1))+IF(L17="",0,CEILING(L17/'02_Capacity'!$E$20,1))+IF(M17="",0,CEILING(M17/'02_Capacity'!$E$20,1))+IF(N17="",0,CEILING(N17/'02_Capacity'!$E$20,1))+IF(O17="",0,CEILING(O17/'02_Capacity'!$E$20,1)),""))</f>
      </c>
      <c r="Q17" s="41" t="s">
        <v>20</v>
      </c>
      <c r="R17" s="38" t="s">
        <v>20</v>
      </c>
      <c r="S17" s="38" t="s">
        <v>20</v>
      </c>
      <c r="T17" s="38" t="s">
        <v>20</v>
      </c>
      <c r="U17" s="31"/>
      <c r="V17" s="31"/>
      <c r="W17" s="31"/>
      <c r="X17" s="31"/>
      <c r="Y17" s="31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9"/>
    </row>
    <row r="18" spans="1:36" x14ac:dyDescent="0.25">
      <c r="A18" s="36" t="s">
        <v>20</v>
      </c>
      <c r="B18" s="36" t="s">
        <v>20</v>
      </c>
      <c r="C18" s="36" t="s">
        <v>20</v>
      </c>
      <c r="D18" s="36" t="s">
        <v>20</v>
      </c>
      <c r="E18" s="36" t="s">
        <v>20</v>
      </c>
      <c r="F18" s="37" t="s">
        <v>20</v>
      </c>
      <c r="G18" s="38" t="s">
        <v>20</v>
      </c>
      <c r="H18" s="38" t="s">
        <v>20</v>
      </c>
      <c r="I18" s="38" t="s">
        <v>20</v>
      </c>
      <c r="J18" s="38" t="s">
        <v>20</v>
      </c>
      <c r="K18" s="39" t="s">
        <v>20</v>
      </c>
      <c r="L18" s="39" t="s">
        <v>20</v>
      </c>
      <c r="M18" s="39" t="s">
        <v>20</v>
      </c>
      <c r="N18" s="39" t="s">
        <v>20</v>
      </c>
      <c r="O18" s="39" t="s">
        <v>20</v>
      </c>
      <c r="P18" s="40">
        <f>IF(COUNTA(G18:O18)=0,"",IFERROR(IF(K18="",0,CEILING(K18/'02_Capacity'!$E$25,1))+IF(L18="",0,CEILING(L18/'02_Capacity'!$E$20,1))+IF(M18="",0,CEILING(M18/'02_Capacity'!$E$20,1))+IF(N18="",0,CEILING(N18/'02_Capacity'!$E$20,1))+IF(O18="",0,CEILING(O18/'02_Capacity'!$E$20,1)),""))</f>
      </c>
      <c r="Q18" s="41" t="s">
        <v>20</v>
      </c>
      <c r="R18" s="38" t="s">
        <v>20</v>
      </c>
      <c r="S18" s="38" t="s">
        <v>20</v>
      </c>
      <c r="T18" s="38" t="s">
        <v>20</v>
      </c>
      <c r="U18" s="31"/>
      <c r="V18" s="31"/>
      <c r="W18" s="31"/>
      <c r="X18" s="31"/>
      <c r="Y18" s="31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9"/>
    </row>
    <row r="19" spans="1:36" x14ac:dyDescent="0.25">
      <c r="A19" s="36" t="s">
        <v>20</v>
      </c>
      <c r="B19" s="36" t="s">
        <v>20</v>
      </c>
      <c r="C19" s="36" t="s">
        <v>20</v>
      </c>
      <c r="D19" s="36" t="s">
        <v>20</v>
      </c>
      <c r="E19" s="36" t="s">
        <v>20</v>
      </c>
      <c r="F19" s="37" t="s">
        <v>20</v>
      </c>
      <c r="G19" s="38" t="s">
        <v>20</v>
      </c>
      <c r="H19" s="38" t="s">
        <v>20</v>
      </c>
      <c r="I19" s="38" t="s">
        <v>20</v>
      </c>
      <c r="J19" s="38" t="s">
        <v>20</v>
      </c>
      <c r="K19" s="39" t="s">
        <v>20</v>
      </c>
      <c r="L19" s="39" t="s">
        <v>20</v>
      </c>
      <c r="M19" s="39" t="s">
        <v>20</v>
      </c>
      <c r="N19" s="39" t="s">
        <v>20</v>
      </c>
      <c r="O19" s="39" t="s">
        <v>20</v>
      </c>
      <c r="P19" s="40">
        <f>IF(COUNTA(G19:O19)=0,"",IFERROR(IF(K19="",0,CEILING(K19/'02_Capacity'!$E$25,1))+IF(L19="",0,CEILING(L19/'02_Capacity'!$E$20,1))+IF(M19="",0,CEILING(M19/'02_Capacity'!$E$20,1))+IF(N19="",0,CEILING(N19/'02_Capacity'!$E$20,1))+IF(O19="",0,CEILING(O19/'02_Capacity'!$E$20,1)),""))</f>
      </c>
      <c r="Q19" s="41" t="s">
        <v>20</v>
      </c>
      <c r="R19" s="38" t="s">
        <v>20</v>
      </c>
      <c r="S19" s="38" t="s">
        <v>20</v>
      </c>
      <c r="T19" s="38" t="s">
        <v>20</v>
      </c>
      <c r="U19" s="31"/>
      <c r="V19" s="31"/>
      <c r="W19" s="31"/>
      <c r="X19" s="31"/>
      <c r="Y19" s="31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9"/>
    </row>
    <row r="20" spans="1:36" x14ac:dyDescent="0.25">
      <c r="A20" s="36" t="s">
        <v>20</v>
      </c>
      <c r="B20" s="36" t="s">
        <v>20</v>
      </c>
      <c r="C20" s="36" t="s">
        <v>20</v>
      </c>
      <c r="D20" s="36" t="s">
        <v>20</v>
      </c>
      <c r="E20" s="36" t="s">
        <v>20</v>
      </c>
      <c r="F20" s="37" t="s">
        <v>20</v>
      </c>
      <c r="G20" s="38" t="s">
        <v>20</v>
      </c>
      <c r="H20" s="38" t="s">
        <v>20</v>
      </c>
      <c r="I20" s="38" t="s">
        <v>20</v>
      </c>
      <c r="J20" s="38" t="s">
        <v>20</v>
      </c>
      <c r="K20" s="39" t="s">
        <v>20</v>
      </c>
      <c r="L20" s="39" t="s">
        <v>20</v>
      </c>
      <c r="M20" s="39" t="s">
        <v>20</v>
      </c>
      <c r="N20" s="39" t="s">
        <v>20</v>
      </c>
      <c r="O20" s="39" t="s">
        <v>20</v>
      </c>
      <c r="P20" s="40">
        <f>IF(COUNTA(G20:O20)=0,"",IFERROR(IF(K20="",0,CEILING(K20/'02_Capacity'!$E$25,1))+IF(L20="",0,CEILING(L20/'02_Capacity'!$E$20,1))+IF(M20="",0,CEILING(M20/'02_Capacity'!$E$20,1))+IF(N20="",0,CEILING(N20/'02_Capacity'!$E$20,1))+IF(O20="",0,CEILING(O20/'02_Capacity'!$E$20,1)),""))</f>
      </c>
      <c r="Q20" s="41" t="s">
        <v>20</v>
      </c>
      <c r="R20" s="38" t="s">
        <v>20</v>
      </c>
      <c r="S20" s="38" t="s">
        <v>20</v>
      </c>
      <c r="T20" s="38" t="s">
        <v>20</v>
      </c>
      <c r="U20" s="31"/>
      <c r="V20" s="31"/>
      <c r="W20" s="31"/>
      <c r="X20" s="31"/>
      <c r="Y20" s="31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9"/>
    </row>
    <row r="21" spans="1:36" x14ac:dyDescent="0.25">
      <c r="A21" s="36" t="s">
        <v>20</v>
      </c>
      <c r="B21" s="36" t="s">
        <v>20</v>
      </c>
      <c r="C21" s="36" t="s">
        <v>20</v>
      </c>
      <c r="D21" s="36" t="s">
        <v>20</v>
      </c>
      <c r="E21" s="36" t="s">
        <v>20</v>
      </c>
      <c r="F21" s="37" t="s">
        <v>20</v>
      </c>
      <c r="G21" s="38" t="s">
        <v>20</v>
      </c>
      <c r="H21" s="38" t="s">
        <v>20</v>
      </c>
      <c r="I21" s="38" t="s">
        <v>20</v>
      </c>
      <c r="J21" s="38" t="s">
        <v>20</v>
      </c>
      <c r="K21" s="39" t="s">
        <v>20</v>
      </c>
      <c r="L21" s="39" t="s">
        <v>20</v>
      </c>
      <c r="M21" s="39" t="s">
        <v>20</v>
      </c>
      <c r="N21" s="39" t="s">
        <v>20</v>
      </c>
      <c r="O21" s="39" t="s">
        <v>20</v>
      </c>
      <c r="P21" s="40">
        <f>IF(COUNTA(G21:O21)=0,"",IFERROR(IF(K21="",0,CEILING(K21/'02_Capacity'!$E$25,1))+IF(L21="",0,CEILING(L21/'02_Capacity'!$E$20,1))+IF(M21="",0,CEILING(M21/'02_Capacity'!$E$20,1))+IF(N21="",0,CEILING(N21/'02_Capacity'!$E$20,1))+IF(O21="",0,CEILING(O21/'02_Capacity'!$E$20,1)),""))</f>
      </c>
      <c r="Q21" s="41" t="s">
        <v>20</v>
      </c>
      <c r="R21" s="38" t="s">
        <v>20</v>
      </c>
      <c r="S21" s="38" t="s">
        <v>20</v>
      </c>
      <c r="T21" s="38" t="s">
        <v>20</v>
      </c>
      <c r="U21" s="31"/>
      <c r="V21" s="31"/>
      <c r="W21" s="31"/>
      <c r="X21" s="31"/>
      <c r="Y21" s="31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9"/>
    </row>
    <row r="22" spans="1:36" x14ac:dyDescent="0.25">
      <c r="A22" s="36" t="s">
        <v>20</v>
      </c>
      <c r="B22" s="36" t="s">
        <v>20</v>
      </c>
      <c r="C22" s="36" t="s">
        <v>20</v>
      </c>
      <c r="D22" s="36" t="s">
        <v>20</v>
      </c>
      <c r="E22" s="36" t="s">
        <v>20</v>
      </c>
      <c r="F22" s="37" t="s">
        <v>20</v>
      </c>
      <c r="G22" s="38" t="s">
        <v>20</v>
      </c>
      <c r="H22" s="38" t="s">
        <v>20</v>
      </c>
      <c r="I22" s="38" t="s">
        <v>20</v>
      </c>
      <c r="J22" s="38" t="s">
        <v>20</v>
      </c>
      <c r="K22" s="39" t="s">
        <v>20</v>
      </c>
      <c r="L22" s="39" t="s">
        <v>20</v>
      </c>
      <c r="M22" s="39" t="s">
        <v>20</v>
      </c>
      <c r="N22" s="39" t="s">
        <v>20</v>
      </c>
      <c r="O22" s="39" t="s">
        <v>20</v>
      </c>
      <c r="P22" s="40">
        <f>IF(COUNTA(G22:O22)=0,"",IFERROR(IF(K22="",0,CEILING(K22/'02_Capacity'!$E$25,1))+IF(L22="",0,CEILING(L22/'02_Capacity'!$E$20,1))+IF(M22="",0,CEILING(M22/'02_Capacity'!$E$20,1))+IF(N22="",0,CEILING(N22/'02_Capacity'!$E$20,1))+IF(O22="",0,CEILING(O22/'02_Capacity'!$E$20,1)),""))</f>
      </c>
      <c r="Q22" s="41" t="s">
        <v>20</v>
      </c>
      <c r="R22" s="38" t="s">
        <v>20</v>
      </c>
      <c r="S22" s="38" t="s">
        <v>20</v>
      </c>
      <c r="T22" s="38" t="s">
        <v>20</v>
      </c>
      <c r="U22" s="31"/>
      <c r="V22" s="31"/>
      <c r="W22" s="31"/>
      <c r="X22" s="31"/>
      <c r="Y22" s="31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9"/>
    </row>
    <row r="23" spans="1:36" x14ac:dyDescent="0.25">
      <c r="A23" s="36" t="s">
        <v>20</v>
      </c>
      <c r="B23" s="36" t="s">
        <v>20</v>
      </c>
      <c r="C23" s="36" t="s">
        <v>20</v>
      </c>
      <c r="D23" s="36" t="s">
        <v>20</v>
      </c>
      <c r="E23" s="36" t="s">
        <v>20</v>
      </c>
      <c r="F23" s="37" t="s">
        <v>20</v>
      </c>
      <c r="G23" s="38" t="s">
        <v>20</v>
      </c>
      <c r="H23" s="38" t="s">
        <v>20</v>
      </c>
      <c r="I23" s="38" t="s">
        <v>20</v>
      </c>
      <c r="J23" s="38" t="s">
        <v>20</v>
      </c>
      <c r="K23" s="39" t="s">
        <v>20</v>
      </c>
      <c r="L23" s="39" t="s">
        <v>20</v>
      </c>
      <c r="M23" s="39" t="s">
        <v>20</v>
      </c>
      <c r="N23" s="39" t="s">
        <v>20</v>
      </c>
      <c r="O23" s="39" t="s">
        <v>20</v>
      </c>
      <c r="P23" s="40">
        <f>IF(COUNTA(G23:O23)=0,"",IFERROR(IF(K23="",0,CEILING(K23/'02_Capacity'!$E$25,1))+IF(L23="",0,CEILING(L23/'02_Capacity'!$E$20,1))+IF(M23="",0,CEILING(M23/'02_Capacity'!$E$20,1))+IF(N23="",0,CEILING(N23/'02_Capacity'!$E$20,1))+IF(O23="",0,CEILING(O23/'02_Capacity'!$E$20,1)),""))</f>
      </c>
      <c r="Q23" s="41" t="s">
        <v>20</v>
      </c>
      <c r="R23" s="38" t="s">
        <v>20</v>
      </c>
      <c r="S23" s="38" t="s">
        <v>20</v>
      </c>
      <c r="T23" s="38" t="s">
        <v>20</v>
      </c>
      <c r="U23" s="31"/>
      <c r="V23" s="31"/>
      <c r="W23" s="31"/>
      <c r="X23" s="31"/>
      <c r="Y23" s="31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9"/>
    </row>
    <row r="24" spans="1:36" x14ac:dyDescent="0.25">
      <c r="A24" s="36" t="s">
        <v>20</v>
      </c>
      <c r="B24" s="36" t="s">
        <v>20</v>
      </c>
      <c r="C24" s="36" t="s">
        <v>20</v>
      </c>
      <c r="D24" s="36" t="s">
        <v>20</v>
      </c>
      <c r="E24" s="36" t="s">
        <v>20</v>
      </c>
      <c r="F24" s="37" t="s">
        <v>20</v>
      </c>
      <c r="G24" s="38" t="s">
        <v>20</v>
      </c>
      <c r="H24" s="38" t="s">
        <v>20</v>
      </c>
      <c r="I24" s="38" t="s">
        <v>20</v>
      </c>
      <c r="J24" s="38" t="s">
        <v>20</v>
      </c>
      <c r="K24" s="39" t="s">
        <v>20</v>
      </c>
      <c r="L24" s="39" t="s">
        <v>20</v>
      </c>
      <c r="M24" s="39" t="s">
        <v>20</v>
      </c>
      <c r="N24" s="39" t="s">
        <v>20</v>
      </c>
      <c r="O24" s="39" t="s">
        <v>20</v>
      </c>
      <c r="P24" s="40">
        <f>IF(COUNTA(G24:O24)=0,"",IFERROR(IF(K24="",0,CEILING(K24/'02_Capacity'!$E$25,1))+IF(L24="",0,CEILING(L24/'02_Capacity'!$E$20,1))+IF(M24="",0,CEILING(M24/'02_Capacity'!$E$20,1))+IF(N24="",0,CEILING(N24/'02_Capacity'!$E$20,1))+IF(O24="",0,CEILING(O24/'02_Capacity'!$E$20,1)),""))</f>
      </c>
      <c r="Q24" s="41" t="s">
        <v>20</v>
      </c>
      <c r="R24" s="38" t="s">
        <v>20</v>
      </c>
      <c r="S24" s="38" t="s">
        <v>20</v>
      </c>
      <c r="T24" s="38" t="s">
        <v>20</v>
      </c>
      <c r="U24" s="31"/>
      <c r="V24" s="31"/>
      <c r="W24" s="31"/>
      <c r="X24" s="31"/>
      <c r="Y24" s="31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9"/>
    </row>
    <row r="25" spans="1:36" x14ac:dyDescent="0.25">
      <c r="A25" s="36" t="s">
        <v>20</v>
      </c>
      <c r="B25" s="36" t="s">
        <v>20</v>
      </c>
      <c r="C25" s="36" t="s">
        <v>20</v>
      </c>
      <c r="D25" s="36" t="s">
        <v>20</v>
      </c>
      <c r="E25" s="36" t="s">
        <v>20</v>
      </c>
      <c r="F25" s="37" t="s">
        <v>20</v>
      </c>
      <c r="G25" s="38" t="s">
        <v>20</v>
      </c>
      <c r="H25" s="38" t="s">
        <v>20</v>
      </c>
      <c r="I25" s="38" t="s">
        <v>20</v>
      </c>
      <c r="J25" s="38" t="s">
        <v>20</v>
      </c>
      <c r="K25" s="39" t="s">
        <v>20</v>
      </c>
      <c r="L25" s="39" t="s">
        <v>20</v>
      </c>
      <c r="M25" s="39" t="s">
        <v>20</v>
      </c>
      <c r="N25" s="39" t="s">
        <v>20</v>
      </c>
      <c r="O25" s="39" t="s">
        <v>20</v>
      </c>
      <c r="P25" s="40">
        <f>IF(COUNTA(G25:O25)=0,"",IFERROR(IF(K25="",0,CEILING(K25/'02_Capacity'!$E$25,1))+IF(L25="",0,CEILING(L25/'02_Capacity'!$E$20,1))+IF(M25="",0,CEILING(M25/'02_Capacity'!$E$20,1))+IF(N25="",0,CEILING(N25/'02_Capacity'!$E$20,1))+IF(O25="",0,CEILING(O25/'02_Capacity'!$E$20,1)),""))</f>
      </c>
      <c r="Q25" s="41" t="s">
        <v>20</v>
      </c>
      <c r="R25" s="38" t="s">
        <v>20</v>
      </c>
      <c r="S25" s="38" t="s">
        <v>20</v>
      </c>
      <c r="T25" s="38" t="s">
        <v>20</v>
      </c>
      <c r="U25" s="31"/>
      <c r="V25" s="31"/>
      <c r="W25" s="31"/>
      <c r="X25" s="31"/>
      <c r="Y25" s="31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9"/>
    </row>
    <row r="28" spans="1:20" x14ac:dyDescent="0.25">
      <c r="A28" s="42" t="s">
        <v>179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</row>
    <row r="29" spans="9:9" x14ac:dyDescent="0.25">
      <c r="I29" s="30" t="s">
        <v>109</v>
      </c>
    </row>
    <row r="30" spans="1:36" x14ac:dyDescent="0.25">
      <c r="A30" s="35" t="s">
        <v>122</v>
      </c>
      <c r="B30" s="35" t="s">
        <v>155</v>
      </c>
      <c r="C30" s="35" t="s">
        <v>156</v>
      </c>
      <c r="D30" s="35" t="s">
        <v>157</v>
      </c>
      <c r="E30" s="35" t="s">
        <v>158</v>
      </c>
      <c r="F30" s="2" t="s">
        <v>112</v>
      </c>
      <c r="G30" s="2" t="s">
        <v>113</v>
      </c>
      <c r="H30" s="2" t="s">
        <v>114</v>
      </c>
      <c r="I30" s="2" t="s">
        <v>115</v>
      </c>
      <c r="J30" s="2" t="s">
        <v>116</v>
      </c>
      <c r="K30" s="2" t="s">
        <v>117</v>
      </c>
      <c r="L30" s="2" t="s">
        <v>118</v>
      </c>
      <c r="M30" s="2" t="s">
        <v>119</v>
      </c>
      <c r="N30" s="2" t="s">
        <v>120</v>
      </c>
      <c r="O30" s="2" t="s">
        <v>121</v>
      </c>
      <c r="P30" s="2" t="s">
        <v>159</v>
      </c>
      <c r="Q30" s="2" t="s">
        <v>160</v>
      </c>
      <c r="R30" s="2" t="s">
        <v>161</v>
      </c>
      <c r="S30" s="2" t="s">
        <v>162</v>
      </c>
      <c r="T30" s="2" t="s">
        <v>3</v>
      </c>
      <c r="U30" s="2" t="s">
        <v>163</v>
      </c>
      <c r="V30" s="2" t="s">
        <v>164</v>
      </c>
      <c r="W30" s="2" t="s">
        <v>165</v>
      </c>
      <c r="X30" s="2" t="s">
        <v>166</v>
      </c>
      <c r="Y30" s="2" t="s">
        <v>167</v>
      </c>
      <c r="Z30" s="2" t="s">
        <v>168</v>
      </c>
      <c r="AA30" s="2" t="s">
        <v>169</v>
      </c>
      <c r="AB30" s="2" t="s">
        <v>170</v>
      </c>
      <c r="AC30" s="2" t="s">
        <v>171</v>
      </c>
      <c r="AD30" s="2" t="s">
        <v>172</v>
      </c>
      <c r="AE30" s="2" t="s">
        <v>173</v>
      </c>
      <c r="AF30" s="2" t="s">
        <v>174</v>
      </c>
      <c r="AG30" s="2" t="s">
        <v>175</v>
      </c>
      <c r="AH30" s="2" t="s">
        <v>176</v>
      </c>
      <c r="AI30" s="2" t="s">
        <v>177</v>
      </c>
      <c r="AJ30" s="2" t="s">
        <v>178</v>
      </c>
    </row>
    <row r="31" spans="1:36" x14ac:dyDescent="0.25">
      <c r="A31" s="36" t="s">
        <v>20</v>
      </c>
      <c r="B31" s="36" t="s">
        <v>20</v>
      </c>
      <c r="C31" s="36" t="s">
        <v>20</v>
      </c>
      <c r="D31" s="36" t="s">
        <v>20</v>
      </c>
      <c r="E31" s="36" t="s">
        <v>20</v>
      </c>
      <c r="F31" s="37" t="s">
        <v>20</v>
      </c>
      <c r="G31" s="38" t="s">
        <v>20</v>
      </c>
      <c r="H31" s="38" t="s">
        <v>20</v>
      </c>
      <c r="I31" s="38" t="s">
        <v>20</v>
      </c>
      <c r="J31" s="38" t="s">
        <v>20</v>
      </c>
      <c r="K31" s="39" t="s">
        <v>20</v>
      </c>
      <c r="L31" s="39" t="s">
        <v>20</v>
      </c>
      <c r="M31" s="39" t="s">
        <v>20</v>
      </c>
      <c r="N31" s="39" t="s">
        <v>20</v>
      </c>
      <c r="O31" s="39" t="s">
        <v>20</v>
      </c>
      <c r="P31" s="40">
        <f>IF(COUNTA(G31:O31)=0,"",IFERROR(IF(K31="",0,CEILING(K31/'02_Capacity'!$E$25,1))+IF(L31="",0,CEILING(L31/'02_Capacity'!$E$20,1))+IF(M31="",0,CEILING(M31/'02_Capacity'!$E$20,1))+IF(N31="",0,CEILING(N31/'02_Capacity'!$E$20,1))+IF(O31="",0,CEILING(O31/'02_Capacity'!$E$20,1)),""))</f>
      </c>
      <c r="Q31" s="41" t="s">
        <v>20</v>
      </c>
      <c r="R31" s="38" t="s">
        <v>20</v>
      </c>
      <c r="S31" s="38" t="s">
        <v>20</v>
      </c>
      <c r="T31" s="38" t="s">
        <v>20</v>
      </c>
      <c r="U31" s="31"/>
      <c r="V31" s="31"/>
      <c r="W31" s="31"/>
      <c r="X31" s="31"/>
      <c r="Y31" s="31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9"/>
    </row>
    <row r="32" spans="1:36" x14ac:dyDescent="0.25">
      <c r="A32" s="36" t="s">
        <v>20</v>
      </c>
      <c r="B32" s="36" t="s">
        <v>20</v>
      </c>
      <c r="C32" s="36" t="s">
        <v>20</v>
      </c>
      <c r="D32" s="36" t="s">
        <v>20</v>
      </c>
      <c r="E32" s="36" t="s">
        <v>20</v>
      </c>
      <c r="F32" s="37" t="s">
        <v>20</v>
      </c>
      <c r="G32" s="38" t="s">
        <v>20</v>
      </c>
      <c r="H32" s="38" t="s">
        <v>20</v>
      </c>
      <c r="I32" s="38" t="s">
        <v>20</v>
      </c>
      <c r="J32" s="38" t="s">
        <v>20</v>
      </c>
      <c r="K32" s="39" t="s">
        <v>20</v>
      </c>
      <c r="L32" s="39" t="s">
        <v>20</v>
      </c>
      <c r="M32" s="39" t="s">
        <v>20</v>
      </c>
      <c r="N32" s="39" t="s">
        <v>20</v>
      </c>
      <c r="O32" s="39" t="s">
        <v>20</v>
      </c>
      <c r="P32" s="40">
        <f>IF(COUNTA(G32:O32)=0,"",IFERROR(IF(K32="",0,CEILING(K32/'02_Capacity'!$E$25,1))+IF(L32="",0,CEILING(L32/'02_Capacity'!$E$20,1))+IF(M32="",0,CEILING(M32/'02_Capacity'!$E$20,1))+IF(N32="",0,CEILING(N32/'02_Capacity'!$E$20,1))+IF(O32="",0,CEILING(O32/'02_Capacity'!$E$20,1)),""))</f>
      </c>
      <c r="Q32" s="41" t="s">
        <v>20</v>
      </c>
      <c r="R32" s="38" t="s">
        <v>20</v>
      </c>
      <c r="S32" s="38" t="s">
        <v>20</v>
      </c>
      <c r="T32" s="38" t="s">
        <v>20</v>
      </c>
      <c r="U32" s="31"/>
      <c r="V32" s="31"/>
      <c r="W32" s="31"/>
      <c r="X32" s="31"/>
      <c r="Y32" s="31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9"/>
    </row>
    <row r="33" spans="1:36" x14ac:dyDescent="0.25">
      <c r="A33" s="36" t="s">
        <v>20</v>
      </c>
      <c r="B33" s="36" t="s">
        <v>20</v>
      </c>
      <c r="C33" s="36" t="s">
        <v>20</v>
      </c>
      <c r="D33" s="36" t="s">
        <v>20</v>
      </c>
      <c r="E33" s="36" t="s">
        <v>20</v>
      </c>
      <c r="F33" s="37" t="s">
        <v>20</v>
      </c>
      <c r="G33" s="38" t="s">
        <v>20</v>
      </c>
      <c r="H33" s="38" t="s">
        <v>20</v>
      </c>
      <c r="I33" s="38" t="s">
        <v>20</v>
      </c>
      <c r="J33" s="38" t="s">
        <v>20</v>
      </c>
      <c r="K33" s="39" t="s">
        <v>20</v>
      </c>
      <c r="L33" s="39" t="s">
        <v>20</v>
      </c>
      <c r="M33" s="39" t="s">
        <v>20</v>
      </c>
      <c r="N33" s="39" t="s">
        <v>20</v>
      </c>
      <c r="O33" s="39" t="s">
        <v>20</v>
      </c>
      <c r="P33" s="40">
        <f>IF(COUNTA(G33:O33)=0,"",IFERROR(IF(K33="",0,CEILING(K33/'02_Capacity'!$E$25,1))+IF(L33="",0,CEILING(L33/'02_Capacity'!$E$20,1))+IF(M33="",0,CEILING(M33/'02_Capacity'!$E$20,1))+IF(N33="",0,CEILING(N33/'02_Capacity'!$E$20,1))+IF(O33="",0,CEILING(O33/'02_Capacity'!$E$20,1)),""))</f>
      </c>
      <c r="Q33" s="41" t="s">
        <v>20</v>
      </c>
      <c r="R33" s="38" t="s">
        <v>20</v>
      </c>
      <c r="S33" s="38" t="s">
        <v>20</v>
      </c>
      <c r="T33" s="38" t="s">
        <v>20</v>
      </c>
      <c r="U33" s="31"/>
      <c r="V33" s="31"/>
      <c r="W33" s="31"/>
      <c r="X33" s="31"/>
      <c r="Y33" s="31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9"/>
    </row>
    <row r="34" spans="1:36" x14ac:dyDescent="0.25">
      <c r="A34" s="36" t="s">
        <v>20</v>
      </c>
      <c r="B34" s="36" t="s">
        <v>20</v>
      </c>
      <c r="C34" s="36" t="s">
        <v>20</v>
      </c>
      <c r="D34" s="36" t="s">
        <v>20</v>
      </c>
      <c r="E34" s="36" t="s">
        <v>20</v>
      </c>
      <c r="F34" s="37" t="s">
        <v>20</v>
      </c>
      <c r="G34" s="38" t="s">
        <v>20</v>
      </c>
      <c r="H34" s="38" t="s">
        <v>20</v>
      </c>
      <c r="I34" s="38" t="s">
        <v>20</v>
      </c>
      <c r="J34" s="38" t="s">
        <v>20</v>
      </c>
      <c r="K34" s="39" t="s">
        <v>20</v>
      </c>
      <c r="L34" s="39" t="s">
        <v>20</v>
      </c>
      <c r="M34" s="39" t="s">
        <v>20</v>
      </c>
      <c r="N34" s="39" t="s">
        <v>20</v>
      </c>
      <c r="O34" s="39" t="s">
        <v>20</v>
      </c>
      <c r="P34" s="40">
        <f>IF(COUNTA(G34:O34)=0,"",IFERROR(IF(K34="",0,CEILING(K34/'02_Capacity'!$E$25,1))+IF(L34="",0,CEILING(L34/'02_Capacity'!$E$20,1))+IF(M34="",0,CEILING(M34/'02_Capacity'!$E$20,1))+IF(N34="",0,CEILING(N34/'02_Capacity'!$E$20,1))+IF(O34="",0,CEILING(O34/'02_Capacity'!$E$20,1)),""))</f>
      </c>
      <c r="Q34" s="41" t="s">
        <v>20</v>
      </c>
      <c r="R34" s="38" t="s">
        <v>20</v>
      </c>
      <c r="S34" s="38" t="s">
        <v>20</v>
      </c>
      <c r="T34" s="38" t="s">
        <v>20</v>
      </c>
      <c r="U34" s="31"/>
      <c r="V34" s="31"/>
      <c r="W34" s="31"/>
      <c r="X34" s="31"/>
      <c r="Y34" s="31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9"/>
    </row>
    <row r="35" spans="1:36" x14ac:dyDescent="0.25">
      <c r="A35" s="36" t="s">
        <v>20</v>
      </c>
      <c r="B35" s="36" t="s">
        <v>20</v>
      </c>
      <c r="C35" s="36" t="s">
        <v>20</v>
      </c>
      <c r="D35" s="36" t="s">
        <v>20</v>
      </c>
      <c r="E35" s="36" t="s">
        <v>20</v>
      </c>
      <c r="F35" s="37" t="s">
        <v>20</v>
      </c>
      <c r="G35" s="38" t="s">
        <v>20</v>
      </c>
      <c r="H35" s="38" t="s">
        <v>20</v>
      </c>
      <c r="I35" s="38" t="s">
        <v>20</v>
      </c>
      <c r="J35" s="38" t="s">
        <v>20</v>
      </c>
      <c r="K35" s="39" t="s">
        <v>20</v>
      </c>
      <c r="L35" s="39" t="s">
        <v>20</v>
      </c>
      <c r="M35" s="39" t="s">
        <v>20</v>
      </c>
      <c r="N35" s="39" t="s">
        <v>20</v>
      </c>
      <c r="O35" s="39" t="s">
        <v>20</v>
      </c>
      <c r="P35" s="40">
        <f>IF(COUNTA(G35:O35)=0,"",IFERROR(IF(K35="",0,CEILING(K35/'02_Capacity'!$E$25,1))+IF(L35="",0,CEILING(L35/'02_Capacity'!$E$20,1))+IF(M35="",0,CEILING(M35/'02_Capacity'!$E$20,1))+IF(N35="",0,CEILING(N35/'02_Capacity'!$E$20,1))+IF(O35="",0,CEILING(O35/'02_Capacity'!$E$20,1)),""))</f>
      </c>
      <c r="Q35" s="41" t="s">
        <v>20</v>
      </c>
      <c r="R35" s="38" t="s">
        <v>20</v>
      </c>
      <c r="S35" s="38" t="s">
        <v>20</v>
      </c>
      <c r="T35" s="38" t="s">
        <v>20</v>
      </c>
      <c r="U35" s="31"/>
      <c r="V35" s="31"/>
      <c r="W35" s="31"/>
      <c r="X35" s="31"/>
      <c r="Y35" s="31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9"/>
    </row>
    <row r="36" spans="1:36" x14ac:dyDescent="0.25">
      <c r="A36" s="36" t="s">
        <v>20</v>
      </c>
      <c r="B36" s="36" t="s">
        <v>20</v>
      </c>
      <c r="C36" s="36" t="s">
        <v>20</v>
      </c>
      <c r="D36" s="36" t="s">
        <v>20</v>
      </c>
      <c r="E36" s="36" t="s">
        <v>20</v>
      </c>
      <c r="F36" s="37" t="s">
        <v>20</v>
      </c>
      <c r="G36" s="38" t="s">
        <v>20</v>
      </c>
      <c r="H36" s="38" t="s">
        <v>20</v>
      </c>
      <c r="I36" s="38" t="s">
        <v>20</v>
      </c>
      <c r="J36" s="38" t="s">
        <v>20</v>
      </c>
      <c r="K36" s="39" t="s">
        <v>20</v>
      </c>
      <c r="L36" s="39" t="s">
        <v>20</v>
      </c>
      <c r="M36" s="39" t="s">
        <v>20</v>
      </c>
      <c r="N36" s="39" t="s">
        <v>20</v>
      </c>
      <c r="O36" s="39" t="s">
        <v>20</v>
      </c>
      <c r="P36" s="40">
        <f>IF(COUNTA(G36:O36)=0,"",IFERROR(IF(K36="",0,CEILING(K36/'02_Capacity'!$E$25,1))+IF(L36="",0,CEILING(L36/'02_Capacity'!$E$20,1))+IF(M36="",0,CEILING(M36/'02_Capacity'!$E$20,1))+IF(N36="",0,CEILING(N36/'02_Capacity'!$E$20,1))+IF(O36="",0,CEILING(O36/'02_Capacity'!$E$20,1)),""))</f>
      </c>
      <c r="Q36" s="41" t="s">
        <v>20</v>
      </c>
      <c r="R36" s="38" t="s">
        <v>20</v>
      </c>
      <c r="S36" s="38" t="s">
        <v>20</v>
      </c>
      <c r="T36" s="38" t="s">
        <v>20</v>
      </c>
      <c r="U36" s="31"/>
      <c r="V36" s="31"/>
      <c r="W36" s="31"/>
      <c r="X36" s="31"/>
      <c r="Y36" s="31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9"/>
    </row>
    <row r="37" spans="1:36" x14ac:dyDescent="0.25">
      <c r="A37" s="36" t="s">
        <v>20</v>
      </c>
      <c r="B37" s="36" t="s">
        <v>20</v>
      </c>
      <c r="C37" s="36" t="s">
        <v>20</v>
      </c>
      <c r="D37" s="36" t="s">
        <v>20</v>
      </c>
      <c r="E37" s="36" t="s">
        <v>20</v>
      </c>
      <c r="F37" s="37" t="s">
        <v>20</v>
      </c>
      <c r="G37" s="38" t="s">
        <v>20</v>
      </c>
      <c r="H37" s="38" t="s">
        <v>20</v>
      </c>
      <c r="I37" s="38" t="s">
        <v>20</v>
      </c>
      <c r="J37" s="38" t="s">
        <v>20</v>
      </c>
      <c r="K37" s="39" t="s">
        <v>20</v>
      </c>
      <c r="L37" s="39" t="s">
        <v>20</v>
      </c>
      <c r="M37" s="39" t="s">
        <v>20</v>
      </c>
      <c r="N37" s="39" t="s">
        <v>20</v>
      </c>
      <c r="O37" s="39" t="s">
        <v>20</v>
      </c>
      <c r="P37" s="40">
        <f>IF(COUNTA(G37:O37)=0,"",IFERROR(IF(K37="",0,CEILING(K37/'02_Capacity'!$E$25,1))+IF(L37="",0,CEILING(L37/'02_Capacity'!$E$20,1))+IF(M37="",0,CEILING(M37/'02_Capacity'!$E$20,1))+IF(N37="",0,CEILING(N37/'02_Capacity'!$E$20,1))+IF(O37="",0,CEILING(O37/'02_Capacity'!$E$20,1)),""))</f>
      </c>
      <c r="Q37" s="41" t="s">
        <v>20</v>
      </c>
      <c r="R37" s="38" t="s">
        <v>20</v>
      </c>
      <c r="S37" s="38" t="s">
        <v>20</v>
      </c>
      <c r="T37" s="38" t="s">
        <v>20</v>
      </c>
      <c r="U37" s="31"/>
      <c r="V37" s="31"/>
      <c r="W37" s="31"/>
      <c r="X37" s="31"/>
      <c r="Y37" s="31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9"/>
    </row>
    <row r="38" spans="1:36" x14ac:dyDescent="0.25">
      <c r="A38" s="36" t="s">
        <v>20</v>
      </c>
      <c r="B38" s="36" t="s">
        <v>20</v>
      </c>
      <c r="C38" s="36" t="s">
        <v>20</v>
      </c>
      <c r="D38" s="36" t="s">
        <v>20</v>
      </c>
      <c r="E38" s="36" t="s">
        <v>20</v>
      </c>
      <c r="F38" s="37" t="s">
        <v>20</v>
      </c>
      <c r="G38" s="38" t="s">
        <v>20</v>
      </c>
      <c r="H38" s="38" t="s">
        <v>20</v>
      </c>
      <c r="I38" s="38" t="s">
        <v>20</v>
      </c>
      <c r="J38" s="38" t="s">
        <v>20</v>
      </c>
      <c r="K38" s="39" t="s">
        <v>20</v>
      </c>
      <c r="L38" s="39" t="s">
        <v>20</v>
      </c>
      <c r="M38" s="39" t="s">
        <v>20</v>
      </c>
      <c r="N38" s="39" t="s">
        <v>20</v>
      </c>
      <c r="O38" s="39" t="s">
        <v>20</v>
      </c>
      <c r="P38" s="40">
        <f>IF(COUNTA(G38:O38)=0,"",IFERROR(IF(K38="",0,CEILING(K38/'02_Capacity'!$E$25,1))+IF(L38="",0,CEILING(L38/'02_Capacity'!$E$20,1))+IF(M38="",0,CEILING(M38/'02_Capacity'!$E$20,1))+IF(N38="",0,CEILING(N38/'02_Capacity'!$E$20,1))+IF(O38="",0,CEILING(O38/'02_Capacity'!$E$20,1)),""))</f>
      </c>
      <c r="Q38" s="41" t="s">
        <v>20</v>
      </c>
      <c r="R38" s="38" t="s">
        <v>20</v>
      </c>
      <c r="S38" s="38" t="s">
        <v>20</v>
      </c>
      <c r="T38" s="38" t="s">
        <v>20</v>
      </c>
      <c r="U38" s="31"/>
      <c r="V38" s="31"/>
      <c r="W38" s="31"/>
      <c r="X38" s="31"/>
      <c r="Y38" s="31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9"/>
    </row>
    <row r="39" spans="1:36" x14ac:dyDescent="0.25">
      <c r="A39" s="36" t="s">
        <v>20</v>
      </c>
      <c r="B39" s="36" t="s">
        <v>20</v>
      </c>
      <c r="C39" s="36" t="s">
        <v>20</v>
      </c>
      <c r="D39" s="36" t="s">
        <v>20</v>
      </c>
      <c r="E39" s="36" t="s">
        <v>20</v>
      </c>
      <c r="F39" s="37" t="s">
        <v>20</v>
      </c>
      <c r="G39" s="38" t="s">
        <v>20</v>
      </c>
      <c r="H39" s="38" t="s">
        <v>20</v>
      </c>
      <c r="I39" s="38" t="s">
        <v>20</v>
      </c>
      <c r="J39" s="38" t="s">
        <v>20</v>
      </c>
      <c r="K39" s="39" t="s">
        <v>20</v>
      </c>
      <c r="L39" s="39" t="s">
        <v>20</v>
      </c>
      <c r="M39" s="39" t="s">
        <v>20</v>
      </c>
      <c r="N39" s="39" t="s">
        <v>20</v>
      </c>
      <c r="O39" s="39" t="s">
        <v>20</v>
      </c>
      <c r="P39" s="40">
        <f>IF(COUNTA(G39:O39)=0,"",IFERROR(IF(K39="",0,CEILING(K39/'02_Capacity'!$E$25,1))+IF(L39="",0,CEILING(L39/'02_Capacity'!$E$20,1))+IF(M39="",0,CEILING(M39/'02_Capacity'!$E$20,1))+IF(N39="",0,CEILING(N39/'02_Capacity'!$E$20,1))+IF(O39="",0,CEILING(O39/'02_Capacity'!$E$20,1)),""))</f>
      </c>
      <c r="Q39" s="41" t="s">
        <v>20</v>
      </c>
      <c r="R39" s="38" t="s">
        <v>20</v>
      </c>
      <c r="S39" s="38" t="s">
        <v>20</v>
      </c>
      <c r="T39" s="38" t="s">
        <v>20</v>
      </c>
      <c r="U39" s="31"/>
      <c r="V39" s="31"/>
      <c r="W39" s="31"/>
      <c r="X39" s="31"/>
      <c r="Y39" s="31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9"/>
    </row>
    <row r="40" spans="1:36" x14ac:dyDescent="0.25">
      <c r="A40" s="36" t="s">
        <v>20</v>
      </c>
      <c r="B40" s="36" t="s">
        <v>20</v>
      </c>
      <c r="C40" s="36" t="s">
        <v>20</v>
      </c>
      <c r="D40" s="36" t="s">
        <v>20</v>
      </c>
      <c r="E40" s="36" t="s">
        <v>20</v>
      </c>
      <c r="F40" s="37" t="s">
        <v>20</v>
      </c>
      <c r="G40" s="38" t="s">
        <v>20</v>
      </c>
      <c r="H40" s="38" t="s">
        <v>20</v>
      </c>
      <c r="I40" s="38" t="s">
        <v>20</v>
      </c>
      <c r="J40" s="38" t="s">
        <v>20</v>
      </c>
      <c r="K40" s="39" t="s">
        <v>20</v>
      </c>
      <c r="L40" s="39" t="s">
        <v>20</v>
      </c>
      <c r="M40" s="39" t="s">
        <v>20</v>
      </c>
      <c r="N40" s="39" t="s">
        <v>20</v>
      </c>
      <c r="O40" s="39" t="s">
        <v>20</v>
      </c>
      <c r="P40" s="40">
        <f>IF(COUNTA(G40:O40)=0,"",IFERROR(IF(K40="",0,CEILING(K40/'02_Capacity'!$E$25,1))+IF(L40="",0,CEILING(L40/'02_Capacity'!$E$20,1))+IF(M40="",0,CEILING(M40/'02_Capacity'!$E$20,1))+IF(N40="",0,CEILING(N40/'02_Capacity'!$E$20,1))+IF(O40="",0,CEILING(O40/'02_Capacity'!$E$20,1)),""))</f>
      </c>
      <c r="Q40" s="41" t="s">
        <v>20</v>
      </c>
      <c r="R40" s="38" t="s">
        <v>20</v>
      </c>
      <c r="S40" s="38" t="s">
        <v>20</v>
      </c>
      <c r="T40" s="38" t="s">
        <v>20</v>
      </c>
      <c r="U40" s="31"/>
      <c r="V40" s="31"/>
      <c r="W40" s="31"/>
      <c r="X40" s="31"/>
      <c r="Y40" s="31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9"/>
    </row>
    <row r="41" spans="1:36" x14ac:dyDescent="0.25">
      <c r="A41" s="36" t="s">
        <v>20</v>
      </c>
      <c r="B41" s="36" t="s">
        <v>20</v>
      </c>
      <c r="C41" s="36" t="s">
        <v>20</v>
      </c>
      <c r="D41" s="36" t="s">
        <v>20</v>
      </c>
      <c r="E41" s="36" t="s">
        <v>20</v>
      </c>
      <c r="F41" s="37" t="s">
        <v>20</v>
      </c>
      <c r="G41" s="38" t="s">
        <v>20</v>
      </c>
      <c r="H41" s="38" t="s">
        <v>20</v>
      </c>
      <c r="I41" s="38" t="s">
        <v>20</v>
      </c>
      <c r="J41" s="38" t="s">
        <v>20</v>
      </c>
      <c r="K41" s="39" t="s">
        <v>20</v>
      </c>
      <c r="L41" s="39" t="s">
        <v>20</v>
      </c>
      <c r="M41" s="39" t="s">
        <v>20</v>
      </c>
      <c r="N41" s="39" t="s">
        <v>20</v>
      </c>
      <c r="O41" s="39" t="s">
        <v>20</v>
      </c>
      <c r="P41" s="40">
        <f>IF(COUNTA(G41:O41)=0,"",IFERROR(IF(K41="",0,CEILING(K41/'02_Capacity'!$E$25,1))+IF(L41="",0,CEILING(L41/'02_Capacity'!$E$20,1))+IF(M41="",0,CEILING(M41/'02_Capacity'!$E$20,1))+IF(N41="",0,CEILING(N41/'02_Capacity'!$E$20,1))+IF(O41="",0,CEILING(O41/'02_Capacity'!$E$20,1)),""))</f>
      </c>
      <c r="Q41" s="41" t="s">
        <v>20</v>
      </c>
      <c r="R41" s="38" t="s">
        <v>20</v>
      </c>
      <c r="S41" s="38" t="s">
        <v>20</v>
      </c>
      <c r="T41" s="38" t="s">
        <v>20</v>
      </c>
      <c r="U41" s="31"/>
      <c r="V41" s="31"/>
      <c r="W41" s="31"/>
      <c r="X41" s="31"/>
      <c r="Y41" s="31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9"/>
    </row>
    <row r="42" spans="1:36" x14ac:dyDescent="0.25">
      <c r="A42" s="36" t="s">
        <v>20</v>
      </c>
      <c r="B42" s="36" t="s">
        <v>20</v>
      </c>
      <c r="C42" s="36" t="s">
        <v>20</v>
      </c>
      <c r="D42" s="36" t="s">
        <v>20</v>
      </c>
      <c r="E42" s="36" t="s">
        <v>20</v>
      </c>
      <c r="F42" s="37" t="s">
        <v>20</v>
      </c>
      <c r="G42" s="38" t="s">
        <v>20</v>
      </c>
      <c r="H42" s="38" t="s">
        <v>20</v>
      </c>
      <c r="I42" s="38" t="s">
        <v>20</v>
      </c>
      <c r="J42" s="38" t="s">
        <v>20</v>
      </c>
      <c r="K42" s="39" t="s">
        <v>20</v>
      </c>
      <c r="L42" s="39" t="s">
        <v>20</v>
      </c>
      <c r="M42" s="39" t="s">
        <v>20</v>
      </c>
      <c r="N42" s="39" t="s">
        <v>20</v>
      </c>
      <c r="O42" s="39" t="s">
        <v>20</v>
      </c>
      <c r="P42" s="40">
        <f>IF(COUNTA(G42:O42)=0,"",IFERROR(IF(K42="",0,CEILING(K42/'02_Capacity'!$E$25,1))+IF(L42="",0,CEILING(L42/'02_Capacity'!$E$20,1))+IF(M42="",0,CEILING(M42/'02_Capacity'!$E$20,1))+IF(N42="",0,CEILING(N42/'02_Capacity'!$E$20,1))+IF(O42="",0,CEILING(O42/'02_Capacity'!$E$20,1)),""))</f>
      </c>
      <c r="Q42" s="41" t="s">
        <v>20</v>
      </c>
      <c r="R42" s="38" t="s">
        <v>20</v>
      </c>
      <c r="S42" s="38" t="s">
        <v>20</v>
      </c>
      <c r="T42" s="38" t="s">
        <v>20</v>
      </c>
      <c r="U42" s="31"/>
      <c r="V42" s="31"/>
      <c r="W42" s="31"/>
      <c r="X42" s="31"/>
      <c r="Y42" s="31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9"/>
    </row>
    <row r="43" spans="1:36" x14ac:dyDescent="0.25">
      <c r="A43" s="36" t="s">
        <v>20</v>
      </c>
      <c r="B43" s="36" t="s">
        <v>20</v>
      </c>
      <c r="C43" s="36" t="s">
        <v>20</v>
      </c>
      <c r="D43" s="36" t="s">
        <v>20</v>
      </c>
      <c r="E43" s="36" t="s">
        <v>20</v>
      </c>
      <c r="F43" s="37" t="s">
        <v>20</v>
      </c>
      <c r="G43" s="38" t="s">
        <v>20</v>
      </c>
      <c r="H43" s="38" t="s">
        <v>20</v>
      </c>
      <c r="I43" s="38" t="s">
        <v>20</v>
      </c>
      <c r="J43" s="38" t="s">
        <v>20</v>
      </c>
      <c r="K43" s="39" t="s">
        <v>20</v>
      </c>
      <c r="L43" s="39" t="s">
        <v>20</v>
      </c>
      <c r="M43" s="39" t="s">
        <v>20</v>
      </c>
      <c r="N43" s="39" t="s">
        <v>20</v>
      </c>
      <c r="O43" s="39" t="s">
        <v>20</v>
      </c>
      <c r="P43" s="40">
        <f>IF(COUNTA(G43:O43)=0,"",IFERROR(IF(K43="",0,CEILING(K43/'02_Capacity'!$E$25,1))+IF(L43="",0,CEILING(L43/'02_Capacity'!$E$20,1))+IF(M43="",0,CEILING(M43/'02_Capacity'!$E$20,1))+IF(N43="",0,CEILING(N43/'02_Capacity'!$E$20,1))+IF(O43="",0,CEILING(O43/'02_Capacity'!$E$20,1)),""))</f>
      </c>
      <c r="Q43" s="41" t="s">
        <v>20</v>
      </c>
      <c r="R43" s="38" t="s">
        <v>20</v>
      </c>
      <c r="S43" s="38" t="s">
        <v>20</v>
      </c>
      <c r="T43" s="38" t="s">
        <v>20</v>
      </c>
      <c r="U43" s="31"/>
      <c r="V43" s="31"/>
      <c r="W43" s="31"/>
      <c r="X43" s="31"/>
      <c r="Y43" s="31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9"/>
    </row>
    <row r="44" spans="1:36" x14ac:dyDescent="0.25">
      <c r="A44" s="36" t="s">
        <v>20</v>
      </c>
      <c r="B44" s="36" t="s">
        <v>20</v>
      </c>
      <c r="C44" s="36" t="s">
        <v>20</v>
      </c>
      <c r="D44" s="36" t="s">
        <v>20</v>
      </c>
      <c r="E44" s="36" t="s">
        <v>20</v>
      </c>
      <c r="F44" s="37" t="s">
        <v>20</v>
      </c>
      <c r="G44" s="38" t="s">
        <v>20</v>
      </c>
      <c r="H44" s="38" t="s">
        <v>20</v>
      </c>
      <c r="I44" s="38" t="s">
        <v>20</v>
      </c>
      <c r="J44" s="38" t="s">
        <v>20</v>
      </c>
      <c r="K44" s="39" t="s">
        <v>20</v>
      </c>
      <c r="L44" s="39" t="s">
        <v>20</v>
      </c>
      <c r="M44" s="39" t="s">
        <v>20</v>
      </c>
      <c r="N44" s="39" t="s">
        <v>20</v>
      </c>
      <c r="O44" s="39" t="s">
        <v>20</v>
      </c>
      <c r="P44" s="40">
        <f>IF(COUNTA(G44:O44)=0,"",IFERROR(IF(K44="",0,CEILING(K44/'02_Capacity'!$E$25,1))+IF(L44="",0,CEILING(L44/'02_Capacity'!$E$20,1))+IF(M44="",0,CEILING(M44/'02_Capacity'!$E$20,1))+IF(N44="",0,CEILING(N44/'02_Capacity'!$E$20,1))+IF(O44="",0,CEILING(O44/'02_Capacity'!$E$20,1)),""))</f>
      </c>
      <c r="Q44" s="41" t="s">
        <v>20</v>
      </c>
      <c r="R44" s="38" t="s">
        <v>20</v>
      </c>
      <c r="S44" s="38" t="s">
        <v>20</v>
      </c>
      <c r="T44" s="38" t="s">
        <v>20</v>
      </c>
      <c r="U44" s="31"/>
      <c r="V44" s="31"/>
      <c r="W44" s="31"/>
      <c r="X44" s="31"/>
      <c r="Y44" s="31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9"/>
    </row>
    <row r="45" spans="1:36" x14ac:dyDescent="0.25">
      <c r="A45" s="36" t="s">
        <v>20</v>
      </c>
      <c r="B45" s="36" t="s">
        <v>20</v>
      </c>
      <c r="C45" s="36" t="s">
        <v>20</v>
      </c>
      <c r="D45" s="36" t="s">
        <v>20</v>
      </c>
      <c r="E45" s="36" t="s">
        <v>20</v>
      </c>
      <c r="F45" s="37" t="s">
        <v>20</v>
      </c>
      <c r="G45" s="38" t="s">
        <v>20</v>
      </c>
      <c r="H45" s="38" t="s">
        <v>20</v>
      </c>
      <c r="I45" s="38" t="s">
        <v>20</v>
      </c>
      <c r="J45" s="38" t="s">
        <v>20</v>
      </c>
      <c r="K45" s="39" t="s">
        <v>20</v>
      </c>
      <c r="L45" s="39" t="s">
        <v>20</v>
      </c>
      <c r="M45" s="39" t="s">
        <v>20</v>
      </c>
      <c r="N45" s="39" t="s">
        <v>20</v>
      </c>
      <c r="O45" s="39" t="s">
        <v>20</v>
      </c>
      <c r="P45" s="40">
        <f>IF(COUNTA(G45:O45)=0,"",IFERROR(IF(K45="",0,CEILING(K45/'02_Capacity'!$E$25,1))+IF(L45="",0,CEILING(L45/'02_Capacity'!$E$20,1))+IF(M45="",0,CEILING(M45/'02_Capacity'!$E$20,1))+IF(N45="",0,CEILING(N45/'02_Capacity'!$E$20,1))+IF(O45="",0,CEILING(O45/'02_Capacity'!$E$20,1)),""))</f>
      </c>
      <c r="Q45" s="41" t="s">
        <v>20</v>
      </c>
      <c r="R45" s="38" t="s">
        <v>20</v>
      </c>
      <c r="S45" s="38" t="s">
        <v>20</v>
      </c>
      <c r="T45" s="38" t="s">
        <v>20</v>
      </c>
      <c r="U45" s="31"/>
      <c r="V45" s="31"/>
      <c r="W45" s="31"/>
      <c r="X45" s="31"/>
      <c r="Y45" s="31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9"/>
    </row>
    <row r="46" spans="1:36" x14ac:dyDescent="0.25">
      <c r="A46" s="36" t="s">
        <v>20</v>
      </c>
      <c r="B46" s="36" t="s">
        <v>20</v>
      </c>
      <c r="C46" s="36" t="s">
        <v>20</v>
      </c>
      <c r="D46" s="36" t="s">
        <v>20</v>
      </c>
      <c r="E46" s="36" t="s">
        <v>20</v>
      </c>
      <c r="F46" s="37" t="s">
        <v>20</v>
      </c>
      <c r="G46" s="38" t="s">
        <v>20</v>
      </c>
      <c r="H46" s="38" t="s">
        <v>20</v>
      </c>
      <c r="I46" s="38" t="s">
        <v>20</v>
      </c>
      <c r="J46" s="38" t="s">
        <v>20</v>
      </c>
      <c r="K46" s="39" t="s">
        <v>20</v>
      </c>
      <c r="L46" s="39" t="s">
        <v>20</v>
      </c>
      <c r="M46" s="39" t="s">
        <v>20</v>
      </c>
      <c r="N46" s="39" t="s">
        <v>20</v>
      </c>
      <c r="O46" s="39" t="s">
        <v>20</v>
      </c>
      <c r="P46" s="40">
        <f>IF(COUNTA(G46:O46)=0,"",IFERROR(IF(K46="",0,CEILING(K46/'02_Capacity'!$E$25,1))+IF(L46="",0,CEILING(L46/'02_Capacity'!$E$20,1))+IF(M46="",0,CEILING(M46/'02_Capacity'!$E$20,1))+IF(N46="",0,CEILING(N46/'02_Capacity'!$E$20,1))+IF(O46="",0,CEILING(O46/'02_Capacity'!$E$20,1)),""))</f>
      </c>
      <c r="Q46" s="41" t="s">
        <v>20</v>
      </c>
      <c r="R46" s="38" t="s">
        <v>20</v>
      </c>
      <c r="S46" s="38" t="s">
        <v>20</v>
      </c>
      <c r="T46" s="38" t="s">
        <v>20</v>
      </c>
      <c r="U46" s="31"/>
      <c r="V46" s="31"/>
      <c r="W46" s="31"/>
      <c r="X46" s="31"/>
      <c r="Y46" s="31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9"/>
    </row>
    <row r="47" spans="1:36" x14ac:dyDescent="0.25">
      <c r="A47" s="36" t="s">
        <v>20</v>
      </c>
      <c r="B47" s="36" t="s">
        <v>20</v>
      </c>
      <c r="C47" s="36" t="s">
        <v>20</v>
      </c>
      <c r="D47" s="36" t="s">
        <v>20</v>
      </c>
      <c r="E47" s="36" t="s">
        <v>20</v>
      </c>
      <c r="F47" s="37" t="s">
        <v>20</v>
      </c>
      <c r="G47" s="38" t="s">
        <v>20</v>
      </c>
      <c r="H47" s="38" t="s">
        <v>20</v>
      </c>
      <c r="I47" s="38" t="s">
        <v>20</v>
      </c>
      <c r="J47" s="38" t="s">
        <v>20</v>
      </c>
      <c r="K47" s="39" t="s">
        <v>20</v>
      </c>
      <c r="L47" s="39" t="s">
        <v>20</v>
      </c>
      <c r="M47" s="39" t="s">
        <v>20</v>
      </c>
      <c r="N47" s="39" t="s">
        <v>20</v>
      </c>
      <c r="O47" s="39" t="s">
        <v>20</v>
      </c>
      <c r="P47" s="40">
        <f>IF(COUNTA(G47:O47)=0,"",IFERROR(IF(K47="",0,CEILING(K47/'02_Capacity'!$E$25,1))+IF(L47="",0,CEILING(L47/'02_Capacity'!$E$20,1))+IF(M47="",0,CEILING(M47/'02_Capacity'!$E$20,1))+IF(N47="",0,CEILING(N47/'02_Capacity'!$E$20,1))+IF(O47="",0,CEILING(O47/'02_Capacity'!$E$20,1)),""))</f>
      </c>
      <c r="Q47" s="41" t="s">
        <v>20</v>
      </c>
      <c r="R47" s="38" t="s">
        <v>20</v>
      </c>
      <c r="S47" s="38" t="s">
        <v>20</v>
      </c>
      <c r="T47" s="38" t="s">
        <v>20</v>
      </c>
      <c r="U47" s="31"/>
      <c r="V47" s="31"/>
      <c r="W47" s="31"/>
      <c r="X47" s="31"/>
      <c r="Y47" s="31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9"/>
    </row>
    <row r="48" spans="1:36" x14ac:dyDescent="0.25">
      <c r="A48" s="36" t="s">
        <v>20</v>
      </c>
      <c r="B48" s="36" t="s">
        <v>20</v>
      </c>
      <c r="C48" s="36" t="s">
        <v>20</v>
      </c>
      <c r="D48" s="36" t="s">
        <v>20</v>
      </c>
      <c r="E48" s="36" t="s">
        <v>20</v>
      </c>
      <c r="F48" s="37" t="s">
        <v>20</v>
      </c>
      <c r="G48" s="38" t="s">
        <v>20</v>
      </c>
      <c r="H48" s="38" t="s">
        <v>20</v>
      </c>
      <c r="I48" s="38" t="s">
        <v>20</v>
      </c>
      <c r="J48" s="38" t="s">
        <v>20</v>
      </c>
      <c r="K48" s="39" t="s">
        <v>20</v>
      </c>
      <c r="L48" s="39" t="s">
        <v>20</v>
      </c>
      <c r="M48" s="39" t="s">
        <v>20</v>
      </c>
      <c r="N48" s="39" t="s">
        <v>20</v>
      </c>
      <c r="O48" s="39" t="s">
        <v>20</v>
      </c>
      <c r="P48" s="40">
        <f>IF(COUNTA(G48:O48)=0,"",IFERROR(IF(K48="",0,CEILING(K48/'02_Capacity'!$E$25,1))+IF(L48="",0,CEILING(L48/'02_Capacity'!$E$20,1))+IF(M48="",0,CEILING(M48/'02_Capacity'!$E$20,1))+IF(N48="",0,CEILING(N48/'02_Capacity'!$E$20,1))+IF(O48="",0,CEILING(O48/'02_Capacity'!$E$20,1)),""))</f>
      </c>
      <c r="Q48" s="41" t="s">
        <v>20</v>
      </c>
      <c r="R48" s="38" t="s">
        <v>20</v>
      </c>
      <c r="S48" s="38" t="s">
        <v>20</v>
      </c>
      <c r="T48" s="38" t="s">
        <v>20</v>
      </c>
      <c r="U48" s="31"/>
      <c r="V48" s="31"/>
      <c r="W48" s="31"/>
      <c r="X48" s="31"/>
      <c r="Y48" s="31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9"/>
    </row>
    <row r="49" spans="1:36" x14ac:dyDescent="0.25">
      <c r="A49" s="36" t="s">
        <v>20</v>
      </c>
      <c r="B49" s="36" t="s">
        <v>20</v>
      </c>
      <c r="C49" s="36" t="s">
        <v>20</v>
      </c>
      <c r="D49" s="36" t="s">
        <v>20</v>
      </c>
      <c r="E49" s="36" t="s">
        <v>20</v>
      </c>
      <c r="F49" s="37" t="s">
        <v>20</v>
      </c>
      <c r="G49" s="38" t="s">
        <v>20</v>
      </c>
      <c r="H49" s="38" t="s">
        <v>20</v>
      </c>
      <c r="I49" s="38" t="s">
        <v>20</v>
      </c>
      <c r="J49" s="38" t="s">
        <v>20</v>
      </c>
      <c r="K49" s="39" t="s">
        <v>20</v>
      </c>
      <c r="L49" s="39" t="s">
        <v>20</v>
      </c>
      <c r="M49" s="39" t="s">
        <v>20</v>
      </c>
      <c r="N49" s="39" t="s">
        <v>20</v>
      </c>
      <c r="O49" s="39" t="s">
        <v>20</v>
      </c>
      <c r="P49" s="40">
        <f>IF(COUNTA(G49:O49)=0,"",IFERROR(IF(K49="",0,CEILING(K49/'02_Capacity'!$E$25,1))+IF(L49="",0,CEILING(L49/'02_Capacity'!$E$20,1))+IF(M49="",0,CEILING(M49/'02_Capacity'!$E$20,1))+IF(N49="",0,CEILING(N49/'02_Capacity'!$E$20,1))+IF(O49="",0,CEILING(O49/'02_Capacity'!$E$20,1)),""))</f>
      </c>
      <c r="Q49" s="41" t="s">
        <v>20</v>
      </c>
      <c r="R49" s="38" t="s">
        <v>20</v>
      </c>
      <c r="S49" s="38" t="s">
        <v>20</v>
      </c>
      <c r="T49" s="38" t="s">
        <v>20</v>
      </c>
      <c r="U49" s="31"/>
      <c r="V49" s="31"/>
      <c r="W49" s="31"/>
      <c r="X49" s="31"/>
      <c r="Y49" s="31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9"/>
    </row>
    <row r="50" spans="1:36" x14ac:dyDescent="0.25">
      <c r="A50" s="36" t="s">
        <v>20</v>
      </c>
      <c r="B50" s="36" t="s">
        <v>20</v>
      </c>
      <c r="C50" s="36" t="s">
        <v>20</v>
      </c>
      <c r="D50" s="36" t="s">
        <v>20</v>
      </c>
      <c r="E50" s="36" t="s">
        <v>20</v>
      </c>
      <c r="F50" s="37" t="s">
        <v>20</v>
      </c>
      <c r="G50" s="38" t="s">
        <v>20</v>
      </c>
      <c r="H50" s="38" t="s">
        <v>20</v>
      </c>
      <c r="I50" s="38" t="s">
        <v>20</v>
      </c>
      <c r="J50" s="38" t="s">
        <v>20</v>
      </c>
      <c r="K50" s="39" t="s">
        <v>20</v>
      </c>
      <c r="L50" s="39" t="s">
        <v>20</v>
      </c>
      <c r="M50" s="39" t="s">
        <v>20</v>
      </c>
      <c r="N50" s="39" t="s">
        <v>20</v>
      </c>
      <c r="O50" s="39" t="s">
        <v>20</v>
      </c>
      <c r="P50" s="40">
        <f>IF(COUNTA(G50:O50)=0,"",IFERROR(IF(K50="",0,CEILING(K50/'02_Capacity'!$E$25,1))+IF(L50="",0,CEILING(L50/'02_Capacity'!$E$20,1))+IF(M50="",0,CEILING(M50/'02_Capacity'!$E$20,1))+IF(N50="",0,CEILING(N50/'02_Capacity'!$E$20,1))+IF(O50="",0,CEILING(O50/'02_Capacity'!$E$20,1)),""))</f>
      </c>
      <c r="Q50" s="41" t="s">
        <v>20</v>
      </c>
      <c r="R50" s="38" t="s">
        <v>20</v>
      </c>
      <c r="S50" s="38" t="s">
        <v>20</v>
      </c>
      <c r="T50" s="38" t="s">
        <v>20</v>
      </c>
      <c r="U50" s="31"/>
      <c r="V50" s="31"/>
      <c r="W50" s="31"/>
      <c r="X50" s="31"/>
      <c r="Y50" s="31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9"/>
    </row>
    <row r="53" spans="1:20" x14ac:dyDescent="0.25">
      <c r="A53" s="1" t="s">
        <v>180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9" x14ac:dyDescent="0.25">
      <c r="A54" s="1" t="s">
        <v>181</v>
      </c>
      <c r="I54" s="30" t="s">
        <v>109</v>
      </c>
    </row>
    <row r="55" spans="1:36" x14ac:dyDescent="0.25">
      <c r="A55" s="35" t="s">
        <v>122</v>
      </c>
      <c r="B55" s="35" t="s">
        <v>155</v>
      </c>
      <c r="C55" s="35" t="s">
        <v>156</v>
      </c>
      <c r="D55" s="35" t="s">
        <v>157</v>
      </c>
      <c r="E55" s="35" t="s">
        <v>158</v>
      </c>
      <c r="F55" s="2" t="s">
        <v>112</v>
      </c>
      <c r="G55" s="2" t="s">
        <v>113</v>
      </c>
      <c r="H55" s="2" t="s">
        <v>114</v>
      </c>
      <c r="I55" s="2" t="s">
        <v>115</v>
      </c>
      <c r="J55" s="2" t="s">
        <v>116</v>
      </c>
      <c r="K55" s="2" t="s">
        <v>117</v>
      </c>
      <c r="L55" s="2" t="s">
        <v>118</v>
      </c>
      <c r="M55" s="2" t="s">
        <v>119</v>
      </c>
      <c r="N55" s="2" t="s">
        <v>120</v>
      </c>
      <c r="O55" s="2" t="s">
        <v>121</v>
      </c>
      <c r="P55" s="2" t="s">
        <v>159</v>
      </c>
      <c r="Q55" s="2" t="s">
        <v>160</v>
      </c>
      <c r="R55" s="2" t="s">
        <v>161</v>
      </c>
      <c r="S55" s="2" t="s">
        <v>162</v>
      </c>
      <c r="T55" s="2" t="s">
        <v>3</v>
      </c>
      <c r="U55" s="2" t="s">
        <v>163</v>
      </c>
      <c r="V55" s="2" t="s">
        <v>164</v>
      </c>
      <c r="W55" s="2" t="s">
        <v>165</v>
      </c>
      <c r="X55" s="2" t="s">
        <v>166</v>
      </c>
      <c r="Y55" s="2" t="s">
        <v>167</v>
      </c>
      <c r="Z55" s="2" t="s">
        <v>168</v>
      </c>
      <c r="AA55" s="2" t="s">
        <v>169</v>
      </c>
      <c r="AB55" s="2" t="s">
        <v>170</v>
      </c>
      <c r="AC55" s="2" t="s">
        <v>171</v>
      </c>
      <c r="AD55" s="2" t="s">
        <v>172</v>
      </c>
      <c r="AE55" s="2" t="s">
        <v>173</v>
      </c>
      <c r="AF55" s="2" t="s">
        <v>174</v>
      </c>
      <c r="AG55" s="2" t="s">
        <v>175</v>
      </c>
      <c r="AH55" s="2" t="s">
        <v>176</v>
      </c>
      <c r="AI55" s="2" t="s">
        <v>177</v>
      </c>
      <c r="AJ55" s="2" t="s">
        <v>178</v>
      </c>
    </row>
    <row r="56" spans="1:36" x14ac:dyDescent="0.25">
      <c r="A56" s="36" t="s">
        <v>122</v>
      </c>
      <c r="B56" s="36" t="s">
        <v>20</v>
      </c>
      <c r="C56" s="36" t="s">
        <v>20</v>
      </c>
      <c r="D56" s="36" t="s">
        <v>20</v>
      </c>
      <c r="E56" s="36" t="s">
        <v>20</v>
      </c>
      <c r="F56" s="37">
        <v>10</v>
      </c>
      <c r="G56" s="38" t="s">
        <v>123</v>
      </c>
      <c r="H56" s="38" t="s">
        <v>124</v>
      </c>
      <c r="I56" s="38" t="s">
        <v>125</v>
      </c>
      <c r="J56" s="38" t="s">
        <v>126</v>
      </c>
      <c r="K56" s="39">
        <v>4</v>
      </c>
      <c r="L56" s="39">
        <v>3</v>
      </c>
      <c r="M56" s="39">
        <v>5</v>
      </c>
      <c r="N56" s="39">
        <v>5</v>
      </c>
      <c r="O56" s="39">
        <v>4</v>
      </c>
      <c r="P56" s="40">
        <f>IF(COUNTA(G56:O56)=0,"",IFERROR(IF(K56="",0,CEILING(K56/'02_Capacity'!$E$25,1))+IF(L56="",0,CEILING(L56/'02_Capacity'!$E$20,1))+IF(M56="",0,CEILING(M56/'02_Capacity'!$E$20,1))+IF(N56="",0,CEILING(N56/'02_Capacity'!$E$20,1))+IF(O56="",0,CEILING(O56/'02_Capacity'!$E$20,1)),""))</f>
      </c>
      <c r="Q56" s="41" t="s">
        <v>20</v>
      </c>
      <c r="R56" s="38" t="s">
        <v>20</v>
      </c>
      <c r="S56" s="38" t="s">
        <v>20</v>
      </c>
      <c r="T56" s="38" t="s">
        <v>20</v>
      </c>
      <c r="U56" s="31"/>
      <c r="V56" s="31"/>
      <c r="W56" s="31"/>
      <c r="X56" s="31"/>
      <c r="Y56" s="31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9"/>
    </row>
    <row r="57" spans="1:36" x14ac:dyDescent="0.25">
      <c r="A57" s="36" t="s">
        <v>122</v>
      </c>
      <c r="B57" s="36" t="s">
        <v>20</v>
      </c>
      <c r="C57" s="36" t="s">
        <v>20</v>
      </c>
      <c r="D57" s="36" t="s">
        <v>20</v>
      </c>
      <c r="E57" s="36" t="s">
        <v>20</v>
      </c>
      <c r="F57" s="37">
        <v>20</v>
      </c>
      <c r="G57" s="38" t="s">
        <v>127</v>
      </c>
      <c r="H57" s="38" t="s">
        <v>128</v>
      </c>
      <c r="I57" s="38" t="s">
        <v>129</v>
      </c>
      <c r="J57" s="38" t="s">
        <v>20</v>
      </c>
      <c r="K57" s="39">
        <v>2</v>
      </c>
      <c r="L57" s="39">
        <v>4</v>
      </c>
      <c r="M57" s="39">
        <v>6</v>
      </c>
      <c r="N57" s="39">
        <v>3</v>
      </c>
      <c r="O57" s="39">
        <v>4</v>
      </c>
      <c r="P57" s="40">
        <f>IF(COUNTA(G57:O57)=0,"",IFERROR(IF(K57="",0,CEILING(K57/'02_Capacity'!$E$25,1))+IF(L57="",0,CEILING(L57/'02_Capacity'!$E$20,1))+IF(M57="",0,CEILING(M57/'02_Capacity'!$E$20,1))+IF(N57="",0,CEILING(N57/'02_Capacity'!$E$20,1))+IF(O57="",0,CEILING(O57/'02_Capacity'!$E$20,1)),""))</f>
      </c>
      <c r="Q57" s="41" t="s">
        <v>20</v>
      </c>
      <c r="R57" s="38" t="s">
        <v>20</v>
      </c>
      <c r="S57" s="38" t="s">
        <v>20</v>
      </c>
      <c r="T57" s="38" t="s">
        <v>20</v>
      </c>
      <c r="U57" s="31"/>
      <c r="V57" s="31"/>
      <c r="W57" s="31"/>
      <c r="X57" s="31"/>
      <c r="Y57" s="31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9"/>
    </row>
    <row r="58" spans="1:36" x14ac:dyDescent="0.25">
      <c r="A58" s="36" t="s">
        <v>122</v>
      </c>
      <c r="B58" s="36" t="s">
        <v>20</v>
      </c>
      <c r="C58" s="36" t="s">
        <v>20</v>
      </c>
      <c r="D58" s="36" t="s">
        <v>20</v>
      </c>
      <c r="E58" s="36" t="s">
        <v>20</v>
      </c>
      <c r="F58" s="37">
        <v>30</v>
      </c>
      <c r="G58" s="38" t="s">
        <v>130</v>
      </c>
      <c r="H58" s="38" t="s">
        <v>131</v>
      </c>
      <c r="I58" s="38" t="s">
        <v>132</v>
      </c>
      <c r="J58" s="38" t="s">
        <v>20</v>
      </c>
      <c r="K58" s="39">
        <v>5</v>
      </c>
      <c r="L58" s="39">
        <v>5</v>
      </c>
      <c r="M58" s="39">
        <v>8</v>
      </c>
      <c r="N58" s="39">
        <v>6</v>
      </c>
      <c r="O58" s="39">
        <v>6</v>
      </c>
      <c r="P58" s="40">
        <f>IF(COUNTA(G58:O58)=0,"",IFERROR(IF(K58="",0,CEILING(K58/'02_Capacity'!$E$25,1))+IF(L58="",0,CEILING(L58/'02_Capacity'!$E$20,1))+IF(M58="",0,CEILING(M58/'02_Capacity'!$E$20,1))+IF(N58="",0,CEILING(N58/'02_Capacity'!$E$20,1))+IF(O58="",0,CEILING(O58/'02_Capacity'!$E$20,1)),""))</f>
      </c>
      <c r="Q58" s="41" t="s">
        <v>20</v>
      </c>
      <c r="R58" s="38" t="s">
        <v>20</v>
      </c>
      <c r="S58" s="38" t="s">
        <v>20</v>
      </c>
      <c r="T58" s="38" t="s">
        <v>20</v>
      </c>
      <c r="U58" s="31"/>
      <c r="V58" s="31"/>
      <c r="W58" s="31"/>
      <c r="X58" s="31"/>
      <c r="Y58" s="31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9"/>
    </row>
    <row r="59" spans="1:36" x14ac:dyDescent="0.25">
      <c r="A59" s="36" t="s">
        <v>122</v>
      </c>
      <c r="B59" s="36" t="s">
        <v>20</v>
      </c>
      <c r="C59" s="36" t="s">
        <v>20</v>
      </c>
      <c r="D59" s="36" t="s">
        <v>20</v>
      </c>
      <c r="E59" s="36" t="s">
        <v>20</v>
      </c>
      <c r="F59" s="37">
        <v>40</v>
      </c>
      <c r="G59" s="38" t="s">
        <v>133</v>
      </c>
      <c r="H59" s="38" t="s">
        <v>134</v>
      </c>
      <c r="I59" s="38" t="s">
        <v>135</v>
      </c>
      <c r="J59" s="38" t="s">
        <v>20</v>
      </c>
      <c r="K59" s="39">
        <v>1</v>
      </c>
      <c r="L59" s="39">
        <v>3</v>
      </c>
      <c r="M59" s="39">
        <v>7</v>
      </c>
      <c r="N59" s="39">
        <v>2</v>
      </c>
      <c r="O59" s="39">
        <v>5</v>
      </c>
      <c r="P59" s="40">
        <f>IF(COUNTA(G59:O59)=0,"",IFERROR(IF(K59="",0,CEILING(K59/'02_Capacity'!$E$25,1))+IF(L59="",0,CEILING(L59/'02_Capacity'!$E$20,1))+IF(M59="",0,CEILING(M59/'02_Capacity'!$E$20,1))+IF(N59="",0,CEILING(N59/'02_Capacity'!$E$20,1))+IF(O59="",0,CEILING(O59/'02_Capacity'!$E$20,1)),""))</f>
      </c>
      <c r="Q59" s="41" t="s">
        <v>20</v>
      </c>
      <c r="R59" s="38" t="s">
        <v>20</v>
      </c>
      <c r="S59" s="38" t="s">
        <v>20</v>
      </c>
      <c r="T59" s="38" t="s">
        <v>20</v>
      </c>
      <c r="U59" s="31"/>
      <c r="V59" s="31"/>
      <c r="W59" s="31"/>
      <c r="X59" s="31"/>
      <c r="Y59" s="31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9"/>
    </row>
    <row r="60" spans="1:36" x14ac:dyDescent="0.25">
      <c r="A60" s="36" t="s">
        <v>122</v>
      </c>
      <c r="B60" s="36" t="s">
        <v>20</v>
      </c>
      <c r="C60" s="36" t="s">
        <v>20</v>
      </c>
      <c r="D60" s="36" t="s">
        <v>20</v>
      </c>
      <c r="E60" s="36" t="s">
        <v>20</v>
      </c>
      <c r="F60" s="37">
        <v>50</v>
      </c>
      <c r="G60" s="38" t="s">
        <v>136</v>
      </c>
      <c r="H60" s="38" t="s">
        <v>137</v>
      </c>
      <c r="I60" s="38" t="s">
        <v>138</v>
      </c>
      <c r="J60" s="38" t="s">
        <v>20</v>
      </c>
      <c r="K60" s="39">
        <v>6</v>
      </c>
      <c r="L60" s="39">
        <v>4</v>
      </c>
      <c r="M60" s="39">
        <v>5</v>
      </c>
      <c r="N60" s="39">
        <v>7</v>
      </c>
      <c r="O60" s="39">
        <v>5</v>
      </c>
      <c r="P60" s="40">
        <f>IF(COUNTA(G60:O60)=0,"",IFERROR(IF(K60="",0,CEILING(K60/'02_Capacity'!$E$25,1))+IF(L60="",0,CEILING(L60/'02_Capacity'!$E$20,1))+IF(M60="",0,CEILING(M60/'02_Capacity'!$E$20,1))+IF(N60="",0,CEILING(N60/'02_Capacity'!$E$20,1))+IF(O60="",0,CEILING(O60/'02_Capacity'!$E$20,1)),""))</f>
      </c>
      <c r="Q60" s="41" t="s">
        <v>20</v>
      </c>
      <c r="R60" s="38" t="s">
        <v>20</v>
      </c>
      <c r="S60" s="38" t="s">
        <v>20</v>
      </c>
      <c r="T60" s="38" t="s">
        <v>20</v>
      </c>
      <c r="U60" s="31"/>
      <c r="V60" s="31"/>
      <c r="W60" s="31"/>
      <c r="X60" s="31"/>
      <c r="Y60" s="31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9"/>
    </row>
    <row r="61" spans="1:36" x14ac:dyDescent="0.25">
      <c r="A61" s="36" t="s">
        <v>122</v>
      </c>
      <c r="B61" s="36" t="s">
        <v>20</v>
      </c>
      <c r="C61" s="36" t="s">
        <v>20</v>
      </c>
      <c r="D61" s="36" t="s">
        <v>20</v>
      </c>
      <c r="E61" s="36" t="s">
        <v>20</v>
      </c>
      <c r="F61" s="37">
        <v>60</v>
      </c>
      <c r="G61" s="38" t="s">
        <v>139</v>
      </c>
      <c r="H61" s="38" t="s">
        <v>140</v>
      </c>
      <c r="I61" s="38" t="s">
        <v>141</v>
      </c>
      <c r="J61" s="38" t="s">
        <v>20</v>
      </c>
      <c r="K61" s="39">
        <v>0</v>
      </c>
      <c r="L61" s="39">
        <v>6</v>
      </c>
      <c r="M61" s="39">
        <v>10</v>
      </c>
      <c r="N61" s="39">
        <v>0</v>
      </c>
      <c r="O61" s="39">
        <v>7</v>
      </c>
      <c r="P61" s="40">
        <f>IF(COUNTA(G61:O61)=0,"",IFERROR(IF(K61="",0,CEILING(K61/'02_Capacity'!$E$25,1))+IF(L61="",0,CEILING(L61/'02_Capacity'!$E$20,1))+IF(M61="",0,CEILING(M61/'02_Capacity'!$E$20,1))+IF(N61="",0,CEILING(N61/'02_Capacity'!$E$20,1))+IF(O61="",0,CEILING(O61/'02_Capacity'!$E$20,1)),""))</f>
      </c>
      <c r="Q61" s="41" t="s">
        <v>20</v>
      </c>
      <c r="R61" s="38" t="s">
        <v>20</v>
      </c>
      <c r="S61" s="38" t="s">
        <v>20</v>
      </c>
      <c r="T61" s="38" t="s">
        <v>20</v>
      </c>
      <c r="U61" s="31"/>
      <c r="V61" s="31"/>
      <c r="W61" s="31"/>
      <c r="X61" s="31"/>
      <c r="Y61" s="31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9"/>
    </row>
    <row r="62" spans="1:36" x14ac:dyDescent="0.25">
      <c r="A62" s="36" t="s">
        <v>122</v>
      </c>
      <c r="B62" s="36" t="s">
        <v>20</v>
      </c>
      <c r="C62" s="36" t="s">
        <v>20</v>
      </c>
      <c r="D62" s="36" t="s">
        <v>20</v>
      </c>
      <c r="E62" s="36" t="s">
        <v>20</v>
      </c>
      <c r="F62" s="37">
        <v>70</v>
      </c>
      <c r="G62" s="38" t="s">
        <v>142</v>
      </c>
      <c r="H62" s="38" t="s">
        <v>143</v>
      </c>
      <c r="I62" s="38" t="s">
        <v>144</v>
      </c>
      <c r="J62" s="38" t="s">
        <v>20</v>
      </c>
      <c r="K62" s="39">
        <v>2</v>
      </c>
      <c r="L62" s="39">
        <v>2</v>
      </c>
      <c r="M62" s="39">
        <v>6</v>
      </c>
      <c r="N62" s="39">
        <v>2</v>
      </c>
      <c r="O62" s="39">
        <v>5</v>
      </c>
      <c r="P62" s="40">
        <f>IF(COUNTA(G62:O62)=0,"",IFERROR(IF(K62="",0,CEILING(K62/'02_Capacity'!$E$25,1))+IF(L62="",0,CEILING(L62/'02_Capacity'!$E$20,1))+IF(M62="",0,CEILING(M62/'02_Capacity'!$E$20,1))+IF(N62="",0,CEILING(N62/'02_Capacity'!$E$20,1))+IF(O62="",0,CEILING(O62/'02_Capacity'!$E$20,1)),""))</f>
      </c>
      <c r="Q62" s="41" t="s">
        <v>20</v>
      </c>
      <c r="R62" s="38" t="s">
        <v>20</v>
      </c>
      <c r="S62" s="38" t="s">
        <v>20</v>
      </c>
      <c r="T62" s="38" t="s">
        <v>20</v>
      </c>
      <c r="U62" s="31"/>
      <c r="V62" s="31"/>
      <c r="W62" s="31"/>
      <c r="X62" s="31"/>
      <c r="Y62" s="31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9"/>
    </row>
    <row r="63" spans="1:36" x14ac:dyDescent="0.25">
      <c r="A63" s="36" t="s">
        <v>122</v>
      </c>
      <c r="B63" s="36" t="s">
        <v>20</v>
      </c>
      <c r="C63" s="36" t="s">
        <v>20</v>
      </c>
      <c r="D63" s="36" t="s">
        <v>20</v>
      </c>
      <c r="E63" s="36" t="s">
        <v>20</v>
      </c>
      <c r="F63" s="37">
        <v>80</v>
      </c>
      <c r="G63" s="38" t="s">
        <v>145</v>
      </c>
      <c r="H63" s="38" t="s">
        <v>146</v>
      </c>
      <c r="I63" s="38" t="s">
        <v>147</v>
      </c>
      <c r="J63" s="38" t="s">
        <v>20</v>
      </c>
      <c r="K63" s="39">
        <v>8</v>
      </c>
      <c r="L63" s="39">
        <v>3</v>
      </c>
      <c r="M63" s="39">
        <v>2</v>
      </c>
      <c r="N63" s="39">
        <v>8</v>
      </c>
      <c r="O63" s="39">
        <v>5</v>
      </c>
      <c r="P63" s="40">
        <f>IF(COUNTA(G63:O63)=0,"",IFERROR(IF(K63="",0,CEILING(K63/'02_Capacity'!$E$25,1))+IF(L63="",0,CEILING(L63/'02_Capacity'!$E$20,1))+IF(M63="",0,CEILING(M63/'02_Capacity'!$E$20,1))+IF(N63="",0,CEILING(N63/'02_Capacity'!$E$20,1))+IF(O63="",0,CEILING(O63/'02_Capacity'!$E$20,1)),""))</f>
      </c>
      <c r="Q63" s="41" t="s">
        <v>20</v>
      </c>
      <c r="R63" s="38" t="s">
        <v>20</v>
      </c>
      <c r="S63" s="38" t="s">
        <v>20</v>
      </c>
      <c r="T63" s="38" t="s">
        <v>20</v>
      </c>
      <c r="U63" s="31"/>
      <c r="V63" s="31"/>
      <c r="W63" s="31"/>
      <c r="X63" s="31"/>
      <c r="Y63" s="31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9"/>
    </row>
    <row r="64" spans="1:36" x14ac:dyDescent="0.25">
      <c r="A64" s="36" t="s">
        <v>20</v>
      </c>
      <c r="B64" s="36" t="s">
        <v>20</v>
      </c>
      <c r="C64" s="36" t="s">
        <v>20</v>
      </c>
      <c r="D64" s="36" t="s">
        <v>20</v>
      </c>
      <c r="E64" s="36" t="s">
        <v>20</v>
      </c>
      <c r="F64" s="37" t="s">
        <v>20</v>
      </c>
      <c r="G64" s="38" t="s">
        <v>20</v>
      </c>
      <c r="H64" s="38" t="s">
        <v>20</v>
      </c>
      <c r="I64" s="38" t="s">
        <v>20</v>
      </c>
      <c r="J64" s="38" t="s">
        <v>20</v>
      </c>
      <c r="K64" s="39" t="s">
        <v>20</v>
      </c>
      <c r="L64" s="39" t="s">
        <v>20</v>
      </c>
      <c r="M64" s="39" t="s">
        <v>20</v>
      </c>
      <c r="N64" s="39" t="s">
        <v>20</v>
      </c>
      <c r="O64" s="39" t="s">
        <v>20</v>
      </c>
      <c r="P64" s="40">
        <f>IF(COUNTA(G64:O64)=0,"",IFERROR(IF(K64="",0,CEILING(K64/'02_Capacity'!$E$25,1))+IF(L64="",0,CEILING(L64/'02_Capacity'!$E$20,1))+IF(M64="",0,CEILING(M64/'02_Capacity'!$E$20,1))+IF(N64="",0,CEILING(N64/'02_Capacity'!$E$20,1))+IF(O64="",0,CEILING(O64/'02_Capacity'!$E$20,1)),""))</f>
      </c>
      <c r="Q64" s="41" t="s">
        <v>20</v>
      </c>
      <c r="R64" s="38" t="s">
        <v>20</v>
      </c>
      <c r="S64" s="38" t="s">
        <v>20</v>
      </c>
      <c r="T64" s="38" t="s">
        <v>20</v>
      </c>
      <c r="U64" s="31"/>
      <c r="V64" s="31"/>
      <c r="W64" s="31"/>
      <c r="X64" s="31"/>
      <c r="Y64" s="31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9"/>
    </row>
    <row r="65" spans="1:36" x14ac:dyDescent="0.25">
      <c r="A65" s="36" t="s">
        <v>20</v>
      </c>
      <c r="B65" s="36" t="s">
        <v>20</v>
      </c>
      <c r="C65" s="36" t="s">
        <v>20</v>
      </c>
      <c r="D65" s="36" t="s">
        <v>20</v>
      </c>
      <c r="E65" s="36" t="s">
        <v>20</v>
      </c>
      <c r="F65" s="37" t="s">
        <v>20</v>
      </c>
      <c r="G65" s="38" t="s">
        <v>20</v>
      </c>
      <c r="H65" s="38" t="s">
        <v>20</v>
      </c>
      <c r="I65" s="38" t="s">
        <v>20</v>
      </c>
      <c r="J65" s="38" t="s">
        <v>20</v>
      </c>
      <c r="K65" s="39" t="s">
        <v>20</v>
      </c>
      <c r="L65" s="39" t="s">
        <v>20</v>
      </c>
      <c r="M65" s="39" t="s">
        <v>20</v>
      </c>
      <c r="N65" s="39" t="s">
        <v>20</v>
      </c>
      <c r="O65" s="39" t="s">
        <v>20</v>
      </c>
      <c r="P65" s="40">
        <f>IF(COUNTA(G65:O65)=0,"",IFERROR(IF(K65="",0,CEILING(K65/'02_Capacity'!$E$25,1))+IF(L65="",0,CEILING(L65/'02_Capacity'!$E$20,1))+IF(M65="",0,CEILING(M65/'02_Capacity'!$E$20,1))+IF(N65="",0,CEILING(N65/'02_Capacity'!$E$20,1))+IF(O65="",0,CEILING(O65/'02_Capacity'!$E$20,1)),""))</f>
      </c>
      <c r="Q65" s="41" t="s">
        <v>20</v>
      </c>
      <c r="R65" s="38" t="s">
        <v>20</v>
      </c>
      <c r="S65" s="38" t="s">
        <v>20</v>
      </c>
      <c r="T65" s="38" t="s">
        <v>20</v>
      </c>
      <c r="U65" s="31"/>
      <c r="V65" s="31"/>
      <c r="W65" s="31"/>
      <c r="X65" s="31"/>
      <c r="Y65" s="31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9"/>
    </row>
    <row r="66" spans="1:36" x14ac:dyDescent="0.25">
      <c r="A66" s="36" t="s">
        <v>20</v>
      </c>
      <c r="B66" s="36" t="s">
        <v>20</v>
      </c>
      <c r="C66" s="36" t="s">
        <v>20</v>
      </c>
      <c r="D66" s="36" t="s">
        <v>20</v>
      </c>
      <c r="E66" s="36" t="s">
        <v>20</v>
      </c>
      <c r="F66" s="37" t="s">
        <v>20</v>
      </c>
      <c r="G66" s="38" t="s">
        <v>20</v>
      </c>
      <c r="H66" s="38" t="s">
        <v>20</v>
      </c>
      <c r="I66" s="38" t="s">
        <v>20</v>
      </c>
      <c r="J66" s="38" t="s">
        <v>20</v>
      </c>
      <c r="K66" s="39" t="s">
        <v>20</v>
      </c>
      <c r="L66" s="39" t="s">
        <v>20</v>
      </c>
      <c r="M66" s="39" t="s">
        <v>20</v>
      </c>
      <c r="N66" s="39" t="s">
        <v>20</v>
      </c>
      <c r="O66" s="39" t="s">
        <v>20</v>
      </c>
      <c r="P66" s="40">
        <f>IF(COUNTA(G66:O66)=0,"",IFERROR(IF(K66="",0,CEILING(K66/'02_Capacity'!$E$25,1))+IF(L66="",0,CEILING(L66/'02_Capacity'!$E$20,1))+IF(M66="",0,CEILING(M66/'02_Capacity'!$E$20,1))+IF(N66="",0,CEILING(N66/'02_Capacity'!$E$20,1))+IF(O66="",0,CEILING(O66/'02_Capacity'!$E$20,1)),""))</f>
      </c>
      <c r="Q66" s="41" t="s">
        <v>20</v>
      </c>
      <c r="R66" s="38" t="s">
        <v>20</v>
      </c>
      <c r="S66" s="38" t="s">
        <v>20</v>
      </c>
      <c r="T66" s="38" t="s">
        <v>20</v>
      </c>
      <c r="U66" s="31"/>
      <c r="V66" s="31"/>
      <c r="W66" s="31"/>
      <c r="X66" s="31"/>
      <c r="Y66" s="31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9"/>
    </row>
    <row r="67" spans="1:36" x14ac:dyDescent="0.25">
      <c r="A67" s="36" t="s">
        <v>20</v>
      </c>
      <c r="B67" s="36" t="s">
        <v>20</v>
      </c>
      <c r="C67" s="36" t="s">
        <v>20</v>
      </c>
      <c r="D67" s="36" t="s">
        <v>20</v>
      </c>
      <c r="E67" s="36" t="s">
        <v>20</v>
      </c>
      <c r="F67" s="37" t="s">
        <v>20</v>
      </c>
      <c r="G67" s="38" t="s">
        <v>20</v>
      </c>
      <c r="H67" s="38" t="s">
        <v>20</v>
      </c>
      <c r="I67" s="38" t="s">
        <v>20</v>
      </c>
      <c r="J67" s="38" t="s">
        <v>20</v>
      </c>
      <c r="K67" s="39" t="s">
        <v>20</v>
      </c>
      <c r="L67" s="39" t="s">
        <v>20</v>
      </c>
      <c r="M67" s="39" t="s">
        <v>20</v>
      </c>
      <c r="N67" s="39" t="s">
        <v>20</v>
      </c>
      <c r="O67" s="39" t="s">
        <v>20</v>
      </c>
      <c r="P67" s="40">
        <f>IF(COUNTA(G67:O67)=0,"",IFERROR(IF(K67="",0,CEILING(K67/'02_Capacity'!$E$25,1))+IF(L67="",0,CEILING(L67/'02_Capacity'!$E$20,1))+IF(M67="",0,CEILING(M67/'02_Capacity'!$E$20,1))+IF(N67="",0,CEILING(N67/'02_Capacity'!$E$20,1))+IF(O67="",0,CEILING(O67/'02_Capacity'!$E$20,1)),""))</f>
      </c>
      <c r="Q67" s="41" t="s">
        <v>20</v>
      </c>
      <c r="R67" s="38" t="s">
        <v>20</v>
      </c>
      <c r="S67" s="38" t="s">
        <v>20</v>
      </c>
      <c r="T67" s="38" t="s">
        <v>20</v>
      </c>
      <c r="U67" s="31"/>
      <c r="V67" s="31"/>
      <c r="W67" s="31"/>
      <c r="X67" s="31"/>
      <c r="Y67" s="31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9"/>
    </row>
    <row r="68" spans="1:36" x14ac:dyDescent="0.25">
      <c r="A68" s="36" t="s">
        <v>20</v>
      </c>
      <c r="B68" s="36" t="s">
        <v>20</v>
      </c>
      <c r="C68" s="36" t="s">
        <v>20</v>
      </c>
      <c r="D68" s="36" t="s">
        <v>20</v>
      </c>
      <c r="E68" s="36" t="s">
        <v>20</v>
      </c>
      <c r="F68" s="37" t="s">
        <v>20</v>
      </c>
      <c r="G68" s="38" t="s">
        <v>20</v>
      </c>
      <c r="H68" s="38" t="s">
        <v>20</v>
      </c>
      <c r="I68" s="38" t="s">
        <v>20</v>
      </c>
      <c r="J68" s="38" t="s">
        <v>20</v>
      </c>
      <c r="K68" s="39" t="s">
        <v>20</v>
      </c>
      <c r="L68" s="39" t="s">
        <v>20</v>
      </c>
      <c r="M68" s="39" t="s">
        <v>20</v>
      </c>
      <c r="N68" s="39" t="s">
        <v>20</v>
      </c>
      <c r="O68" s="39" t="s">
        <v>20</v>
      </c>
      <c r="P68" s="40">
        <f>IF(COUNTA(G68:O68)=0,"",IFERROR(IF(K68="",0,CEILING(K68/'02_Capacity'!$E$25,1))+IF(L68="",0,CEILING(L68/'02_Capacity'!$E$20,1))+IF(M68="",0,CEILING(M68/'02_Capacity'!$E$20,1))+IF(N68="",0,CEILING(N68/'02_Capacity'!$E$20,1))+IF(O68="",0,CEILING(O68/'02_Capacity'!$E$20,1)),""))</f>
      </c>
      <c r="Q68" s="41" t="s">
        <v>20</v>
      </c>
      <c r="R68" s="38" t="s">
        <v>20</v>
      </c>
      <c r="S68" s="38" t="s">
        <v>20</v>
      </c>
      <c r="T68" s="38" t="s">
        <v>20</v>
      </c>
      <c r="U68" s="31"/>
      <c r="V68" s="31"/>
      <c r="W68" s="31"/>
      <c r="X68" s="31"/>
      <c r="Y68" s="31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9"/>
    </row>
    <row r="69" spans="1:36" x14ac:dyDescent="0.25">
      <c r="A69" s="36" t="s">
        <v>20</v>
      </c>
      <c r="B69" s="36" t="s">
        <v>20</v>
      </c>
      <c r="C69" s="36" t="s">
        <v>20</v>
      </c>
      <c r="D69" s="36" t="s">
        <v>20</v>
      </c>
      <c r="E69" s="36" t="s">
        <v>20</v>
      </c>
      <c r="F69" s="37" t="s">
        <v>20</v>
      </c>
      <c r="G69" s="38" t="s">
        <v>20</v>
      </c>
      <c r="H69" s="38" t="s">
        <v>20</v>
      </c>
      <c r="I69" s="38" t="s">
        <v>20</v>
      </c>
      <c r="J69" s="38" t="s">
        <v>20</v>
      </c>
      <c r="K69" s="39" t="s">
        <v>20</v>
      </c>
      <c r="L69" s="39" t="s">
        <v>20</v>
      </c>
      <c r="M69" s="39" t="s">
        <v>20</v>
      </c>
      <c r="N69" s="39" t="s">
        <v>20</v>
      </c>
      <c r="O69" s="39" t="s">
        <v>20</v>
      </c>
      <c r="P69" s="40">
        <f>IF(COUNTA(G69:O69)=0,"",IFERROR(IF(K69="",0,CEILING(K69/'02_Capacity'!$E$25,1))+IF(L69="",0,CEILING(L69/'02_Capacity'!$E$20,1))+IF(M69="",0,CEILING(M69/'02_Capacity'!$E$20,1))+IF(N69="",0,CEILING(N69/'02_Capacity'!$E$20,1))+IF(O69="",0,CEILING(O69/'02_Capacity'!$E$20,1)),""))</f>
      </c>
      <c r="Q69" s="41" t="s">
        <v>20</v>
      </c>
      <c r="R69" s="38" t="s">
        <v>20</v>
      </c>
      <c r="S69" s="38" t="s">
        <v>20</v>
      </c>
      <c r="T69" s="38" t="s">
        <v>20</v>
      </c>
      <c r="U69" s="31"/>
      <c r="V69" s="31"/>
      <c r="W69" s="31"/>
      <c r="X69" s="31"/>
      <c r="Y69" s="31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9"/>
    </row>
    <row r="70" spans="1:36" x14ac:dyDescent="0.25">
      <c r="A70" s="36" t="s">
        <v>20</v>
      </c>
      <c r="B70" s="36" t="s">
        <v>20</v>
      </c>
      <c r="C70" s="36" t="s">
        <v>20</v>
      </c>
      <c r="D70" s="36" t="s">
        <v>20</v>
      </c>
      <c r="E70" s="36" t="s">
        <v>20</v>
      </c>
      <c r="F70" s="37" t="s">
        <v>20</v>
      </c>
      <c r="G70" s="38" t="s">
        <v>20</v>
      </c>
      <c r="H70" s="38" t="s">
        <v>20</v>
      </c>
      <c r="I70" s="38" t="s">
        <v>20</v>
      </c>
      <c r="J70" s="38" t="s">
        <v>20</v>
      </c>
      <c r="K70" s="39" t="s">
        <v>20</v>
      </c>
      <c r="L70" s="39" t="s">
        <v>20</v>
      </c>
      <c r="M70" s="39" t="s">
        <v>20</v>
      </c>
      <c r="N70" s="39" t="s">
        <v>20</v>
      </c>
      <c r="O70" s="39" t="s">
        <v>20</v>
      </c>
      <c r="P70" s="40">
        <f>IF(COUNTA(G70:O70)=0,"",IFERROR(IF(K70="",0,CEILING(K70/'02_Capacity'!$E$25,1))+IF(L70="",0,CEILING(L70/'02_Capacity'!$E$20,1))+IF(M70="",0,CEILING(M70/'02_Capacity'!$E$20,1))+IF(N70="",0,CEILING(N70/'02_Capacity'!$E$20,1))+IF(O70="",0,CEILING(O70/'02_Capacity'!$E$20,1)),""))</f>
      </c>
      <c r="Q70" s="41" t="s">
        <v>20</v>
      </c>
      <c r="R70" s="38" t="s">
        <v>20</v>
      </c>
      <c r="S70" s="38" t="s">
        <v>20</v>
      </c>
      <c r="T70" s="38" t="s">
        <v>20</v>
      </c>
      <c r="U70" s="31"/>
      <c r="V70" s="31"/>
      <c r="W70" s="31"/>
      <c r="X70" s="31"/>
      <c r="Y70" s="31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9"/>
    </row>
    <row r="71" spans="1:36" x14ac:dyDescent="0.25">
      <c r="A71" s="36" t="s">
        <v>20</v>
      </c>
      <c r="B71" s="36" t="s">
        <v>20</v>
      </c>
      <c r="C71" s="36" t="s">
        <v>20</v>
      </c>
      <c r="D71" s="36" t="s">
        <v>20</v>
      </c>
      <c r="E71" s="36" t="s">
        <v>20</v>
      </c>
      <c r="F71" s="37" t="s">
        <v>20</v>
      </c>
      <c r="G71" s="38" t="s">
        <v>20</v>
      </c>
      <c r="H71" s="38" t="s">
        <v>20</v>
      </c>
      <c r="I71" s="38" t="s">
        <v>20</v>
      </c>
      <c r="J71" s="38" t="s">
        <v>20</v>
      </c>
      <c r="K71" s="39" t="s">
        <v>20</v>
      </c>
      <c r="L71" s="39" t="s">
        <v>20</v>
      </c>
      <c r="M71" s="39" t="s">
        <v>20</v>
      </c>
      <c r="N71" s="39" t="s">
        <v>20</v>
      </c>
      <c r="O71" s="39" t="s">
        <v>20</v>
      </c>
      <c r="P71" s="40">
        <f>IF(COUNTA(G71:O71)=0,"",IFERROR(IF(K71="",0,CEILING(K71/'02_Capacity'!$E$25,1))+IF(L71="",0,CEILING(L71/'02_Capacity'!$E$20,1))+IF(M71="",0,CEILING(M71/'02_Capacity'!$E$20,1))+IF(N71="",0,CEILING(N71/'02_Capacity'!$E$20,1))+IF(O71="",0,CEILING(O71/'02_Capacity'!$E$20,1)),""))</f>
      </c>
      <c r="Q71" s="41" t="s">
        <v>20</v>
      </c>
      <c r="R71" s="38" t="s">
        <v>20</v>
      </c>
      <c r="S71" s="38" t="s">
        <v>20</v>
      </c>
      <c r="T71" s="38" t="s">
        <v>20</v>
      </c>
      <c r="U71" s="31"/>
      <c r="V71" s="31"/>
      <c r="W71" s="31"/>
      <c r="X71" s="31"/>
      <c r="Y71" s="31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9"/>
    </row>
    <row r="72" spans="1:36" x14ac:dyDescent="0.25">
      <c r="A72" s="36" t="s">
        <v>20</v>
      </c>
      <c r="B72" s="36" t="s">
        <v>20</v>
      </c>
      <c r="C72" s="36" t="s">
        <v>20</v>
      </c>
      <c r="D72" s="36" t="s">
        <v>20</v>
      </c>
      <c r="E72" s="36" t="s">
        <v>20</v>
      </c>
      <c r="F72" s="37" t="s">
        <v>20</v>
      </c>
      <c r="G72" s="38" t="s">
        <v>20</v>
      </c>
      <c r="H72" s="38" t="s">
        <v>20</v>
      </c>
      <c r="I72" s="38" t="s">
        <v>20</v>
      </c>
      <c r="J72" s="38" t="s">
        <v>20</v>
      </c>
      <c r="K72" s="39" t="s">
        <v>20</v>
      </c>
      <c r="L72" s="39" t="s">
        <v>20</v>
      </c>
      <c r="M72" s="39" t="s">
        <v>20</v>
      </c>
      <c r="N72" s="39" t="s">
        <v>20</v>
      </c>
      <c r="O72" s="39" t="s">
        <v>20</v>
      </c>
      <c r="P72" s="40">
        <f>IF(COUNTA(G72:O72)=0,"",IFERROR(IF(K72="",0,CEILING(K72/'02_Capacity'!$E$25,1))+IF(L72="",0,CEILING(L72/'02_Capacity'!$E$20,1))+IF(M72="",0,CEILING(M72/'02_Capacity'!$E$20,1))+IF(N72="",0,CEILING(N72/'02_Capacity'!$E$20,1))+IF(O72="",0,CEILING(O72/'02_Capacity'!$E$20,1)),""))</f>
      </c>
      <c r="Q72" s="41" t="s">
        <v>20</v>
      </c>
      <c r="R72" s="38" t="s">
        <v>20</v>
      </c>
      <c r="S72" s="38" t="s">
        <v>20</v>
      </c>
      <c r="T72" s="38" t="s">
        <v>20</v>
      </c>
      <c r="U72" s="31"/>
      <c r="V72" s="31"/>
      <c r="W72" s="31"/>
      <c r="X72" s="31"/>
      <c r="Y72" s="31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9"/>
    </row>
    <row r="73" spans="1:36" x14ac:dyDescent="0.25">
      <c r="A73" s="36" t="s">
        <v>20</v>
      </c>
      <c r="B73" s="36" t="s">
        <v>20</v>
      </c>
      <c r="C73" s="36" t="s">
        <v>20</v>
      </c>
      <c r="D73" s="36" t="s">
        <v>20</v>
      </c>
      <c r="E73" s="36" t="s">
        <v>20</v>
      </c>
      <c r="F73" s="37" t="s">
        <v>20</v>
      </c>
      <c r="G73" s="38" t="s">
        <v>20</v>
      </c>
      <c r="H73" s="38" t="s">
        <v>20</v>
      </c>
      <c r="I73" s="38" t="s">
        <v>20</v>
      </c>
      <c r="J73" s="38" t="s">
        <v>20</v>
      </c>
      <c r="K73" s="39" t="s">
        <v>20</v>
      </c>
      <c r="L73" s="39" t="s">
        <v>20</v>
      </c>
      <c r="M73" s="39" t="s">
        <v>20</v>
      </c>
      <c r="N73" s="39" t="s">
        <v>20</v>
      </c>
      <c r="O73" s="39" t="s">
        <v>20</v>
      </c>
      <c r="P73" s="40">
        <f>IF(COUNTA(G73:O73)=0,"",IFERROR(IF(K73="",0,CEILING(K73/'02_Capacity'!$E$25,1))+IF(L73="",0,CEILING(L73/'02_Capacity'!$E$20,1))+IF(M73="",0,CEILING(M73/'02_Capacity'!$E$20,1))+IF(N73="",0,CEILING(N73/'02_Capacity'!$E$20,1))+IF(O73="",0,CEILING(O73/'02_Capacity'!$E$20,1)),""))</f>
      </c>
      <c r="Q73" s="41" t="s">
        <v>20</v>
      </c>
      <c r="R73" s="38" t="s">
        <v>20</v>
      </c>
      <c r="S73" s="38" t="s">
        <v>20</v>
      </c>
      <c r="T73" s="38" t="s">
        <v>20</v>
      </c>
      <c r="U73" s="31"/>
      <c r="V73" s="31"/>
      <c r="W73" s="31"/>
      <c r="X73" s="31"/>
      <c r="Y73" s="31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9"/>
    </row>
    <row r="74" spans="1:36" x14ac:dyDescent="0.25">
      <c r="A74" s="36" t="s">
        <v>20</v>
      </c>
      <c r="B74" s="36" t="s">
        <v>20</v>
      </c>
      <c r="C74" s="36" t="s">
        <v>20</v>
      </c>
      <c r="D74" s="36" t="s">
        <v>20</v>
      </c>
      <c r="E74" s="36" t="s">
        <v>20</v>
      </c>
      <c r="F74" s="37" t="s">
        <v>20</v>
      </c>
      <c r="G74" s="38" t="s">
        <v>20</v>
      </c>
      <c r="H74" s="38" t="s">
        <v>20</v>
      </c>
      <c r="I74" s="38" t="s">
        <v>20</v>
      </c>
      <c r="J74" s="38" t="s">
        <v>20</v>
      </c>
      <c r="K74" s="39" t="s">
        <v>20</v>
      </c>
      <c r="L74" s="39" t="s">
        <v>20</v>
      </c>
      <c r="M74" s="39" t="s">
        <v>20</v>
      </c>
      <c r="N74" s="39" t="s">
        <v>20</v>
      </c>
      <c r="O74" s="39" t="s">
        <v>20</v>
      </c>
      <c r="P74" s="40">
        <f>IF(COUNTA(G74:O74)=0,"",IFERROR(IF(K74="",0,CEILING(K74/'02_Capacity'!$E$25,1))+IF(L74="",0,CEILING(L74/'02_Capacity'!$E$20,1))+IF(M74="",0,CEILING(M74/'02_Capacity'!$E$20,1))+IF(N74="",0,CEILING(N74/'02_Capacity'!$E$20,1))+IF(O74="",0,CEILING(O74/'02_Capacity'!$E$20,1)),""))</f>
      </c>
      <c r="Q74" s="41" t="s">
        <v>20</v>
      </c>
      <c r="R74" s="38" t="s">
        <v>20</v>
      </c>
      <c r="S74" s="38" t="s">
        <v>20</v>
      </c>
      <c r="T74" s="38" t="s">
        <v>20</v>
      </c>
      <c r="U74" s="31"/>
      <c r="V74" s="31"/>
      <c r="W74" s="31"/>
      <c r="X74" s="31"/>
      <c r="Y74" s="31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9"/>
    </row>
    <row r="75" spans="1:36" x14ac:dyDescent="0.25">
      <c r="A75" s="36" t="s">
        <v>20</v>
      </c>
      <c r="B75" s="36" t="s">
        <v>20</v>
      </c>
      <c r="C75" s="36" t="s">
        <v>20</v>
      </c>
      <c r="D75" s="36" t="s">
        <v>20</v>
      </c>
      <c r="E75" s="36" t="s">
        <v>20</v>
      </c>
      <c r="F75" s="37" t="s">
        <v>20</v>
      </c>
      <c r="G75" s="38" t="s">
        <v>20</v>
      </c>
      <c r="H75" s="38" t="s">
        <v>20</v>
      </c>
      <c r="I75" s="38" t="s">
        <v>20</v>
      </c>
      <c r="J75" s="38" t="s">
        <v>20</v>
      </c>
      <c r="K75" s="39" t="s">
        <v>20</v>
      </c>
      <c r="L75" s="39" t="s">
        <v>20</v>
      </c>
      <c r="M75" s="39" t="s">
        <v>20</v>
      </c>
      <c r="N75" s="39" t="s">
        <v>20</v>
      </c>
      <c r="O75" s="39" t="s">
        <v>20</v>
      </c>
      <c r="P75" s="40">
        <f>IF(COUNTA(G75:O75)=0,"",IFERROR(IF(K75="",0,CEILING(K75/'02_Capacity'!$E$25,1))+IF(L75="",0,CEILING(L75/'02_Capacity'!$E$20,1))+IF(M75="",0,CEILING(M75/'02_Capacity'!$E$20,1))+IF(N75="",0,CEILING(N75/'02_Capacity'!$E$20,1))+IF(O75="",0,CEILING(O75/'02_Capacity'!$E$20,1)),""))</f>
      </c>
      <c r="Q75" s="41" t="s">
        <v>20</v>
      </c>
      <c r="R75" s="38" t="s">
        <v>20</v>
      </c>
      <c r="S75" s="38" t="s">
        <v>20</v>
      </c>
      <c r="T75" s="38" t="s">
        <v>20</v>
      </c>
      <c r="U75" s="31"/>
      <c r="V75" s="31"/>
      <c r="W75" s="31"/>
      <c r="X75" s="31"/>
      <c r="Y75" s="31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9"/>
    </row>
    <row r="76" spans="1:36" x14ac:dyDescent="0.25">
      <c r="A76" s="36" t="s">
        <v>20</v>
      </c>
      <c r="B76" s="36" t="s">
        <v>20</v>
      </c>
      <c r="C76" s="36" t="s">
        <v>20</v>
      </c>
      <c r="D76" s="36" t="s">
        <v>20</v>
      </c>
      <c r="E76" s="36" t="s">
        <v>20</v>
      </c>
      <c r="F76" s="37" t="s">
        <v>20</v>
      </c>
      <c r="G76" s="38" t="s">
        <v>20</v>
      </c>
      <c r="H76" s="38" t="s">
        <v>20</v>
      </c>
      <c r="I76" s="38" t="s">
        <v>20</v>
      </c>
      <c r="J76" s="38" t="s">
        <v>20</v>
      </c>
      <c r="K76" s="39" t="s">
        <v>20</v>
      </c>
      <c r="L76" s="39" t="s">
        <v>20</v>
      </c>
      <c r="M76" s="39" t="s">
        <v>20</v>
      </c>
      <c r="N76" s="39" t="s">
        <v>20</v>
      </c>
      <c r="O76" s="39" t="s">
        <v>20</v>
      </c>
      <c r="P76" s="40">
        <f>IF(COUNTA(G76:O76)=0,"",IFERROR(IF(K76="",0,CEILING(K76/'02_Capacity'!$E$25,1))+IF(L76="",0,CEILING(L76/'02_Capacity'!$E$20,1))+IF(M76="",0,CEILING(M76/'02_Capacity'!$E$20,1))+IF(N76="",0,CEILING(N76/'02_Capacity'!$E$20,1))+IF(O76="",0,CEILING(O76/'02_Capacity'!$E$20,1)),""))</f>
      </c>
      <c r="Q76" s="41" t="s">
        <v>20</v>
      </c>
      <c r="R76" s="38" t="s">
        <v>20</v>
      </c>
      <c r="S76" s="38" t="s">
        <v>20</v>
      </c>
      <c r="T76" s="38" t="s">
        <v>20</v>
      </c>
      <c r="U76" s="31"/>
      <c r="V76" s="31"/>
      <c r="W76" s="31"/>
      <c r="X76" s="31"/>
      <c r="Y76" s="31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9"/>
    </row>
    <row r="77" spans="1:36" x14ac:dyDescent="0.25">
      <c r="A77" s="36" t="s">
        <v>20</v>
      </c>
      <c r="B77" s="36" t="s">
        <v>20</v>
      </c>
      <c r="C77" s="36" t="s">
        <v>20</v>
      </c>
      <c r="D77" s="36" t="s">
        <v>20</v>
      </c>
      <c r="E77" s="36" t="s">
        <v>20</v>
      </c>
      <c r="F77" s="37" t="s">
        <v>20</v>
      </c>
      <c r="G77" s="38" t="s">
        <v>20</v>
      </c>
      <c r="H77" s="38" t="s">
        <v>20</v>
      </c>
      <c r="I77" s="38" t="s">
        <v>20</v>
      </c>
      <c r="J77" s="38" t="s">
        <v>20</v>
      </c>
      <c r="K77" s="39" t="s">
        <v>20</v>
      </c>
      <c r="L77" s="39" t="s">
        <v>20</v>
      </c>
      <c r="M77" s="39" t="s">
        <v>20</v>
      </c>
      <c r="N77" s="39" t="s">
        <v>20</v>
      </c>
      <c r="O77" s="39" t="s">
        <v>20</v>
      </c>
      <c r="P77" s="40">
        <f>IF(COUNTA(G77:O77)=0,"",IFERROR(IF(K77="",0,CEILING(K77/'02_Capacity'!$E$25,1))+IF(L77="",0,CEILING(L77/'02_Capacity'!$E$20,1))+IF(M77="",0,CEILING(M77/'02_Capacity'!$E$20,1))+IF(N77="",0,CEILING(N77/'02_Capacity'!$E$20,1))+IF(O77="",0,CEILING(O77/'02_Capacity'!$E$20,1)),""))</f>
      </c>
      <c r="Q77" s="41" t="s">
        <v>20</v>
      </c>
      <c r="R77" s="38" t="s">
        <v>20</v>
      </c>
      <c r="S77" s="38" t="s">
        <v>20</v>
      </c>
      <c r="T77" s="38" t="s">
        <v>20</v>
      </c>
      <c r="U77" s="31"/>
      <c r="V77" s="31"/>
      <c r="W77" s="31"/>
      <c r="X77" s="31"/>
      <c r="Y77" s="31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9"/>
    </row>
    <row r="78" spans="1:36" x14ac:dyDescent="0.25">
      <c r="A78" s="36" t="s">
        <v>20</v>
      </c>
      <c r="B78" s="36" t="s">
        <v>20</v>
      </c>
      <c r="C78" s="36" t="s">
        <v>20</v>
      </c>
      <c r="D78" s="36" t="s">
        <v>20</v>
      </c>
      <c r="E78" s="36" t="s">
        <v>20</v>
      </c>
      <c r="F78" s="37" t="s">
        <v>20</v>
      </c>
      <c r="G78" s="38" t="s">
        <v>20</v>
      </c>
      <c r="H78" s="38" t="s">
        <v>20</v>
      </c>
      <c r="I78" s="38" t="s">
        <v>20</v>
      </c>
      <c r="J78" s="38" t="s">
        <v>20</v>
      </c>
      <c r="K78" s="39" t="s">
        <v>20</v>
      </c>
      <c r="L78" s="39" t="s">
        <v>20</v>
      </c>
      <c r="M78" s="39" t="s">
        <v>20</v>
      </c>
      <c r="N78" s="39" t="s">
        <v>20</v>
      </c>
      <c r="O78" s="39" t="s">
        <v>20</v>
      </c>
      <c r="P78" s="40">
        <f>IF(COUNTA(G78:O78)=0,"",IFERROR(IF(K78="",0,CEILING(K78/'02_Capacity'!$E$25,1))+IF(L78="",0,CEILING(L78/'02_Capacity'!$E$20,1))+IF(M78="",0,CEILING(M78/'02_Capacity'!$E$20,1))+IF(N78="",0,CEILING(N78/'02_Capacity'!$E$20,1))+IF(O78="",0,CEILING(O78/'02_Capacity'!$E$20,1)),""))</f>
      </c>
      <c r="Q78" s="41" t="s">
        <v>20</v>
      </c>
      <c r="R78" s="38" t="s">
        <v>20</v>
      </c>
      <c r="S78" s="38" t="s">
        <v>20</v>
      </c>
      <c r="T78" s="38" t="s">
        <v>20</v>
      </c>
      <c r="U78" s="31"/>
      <c r="V78" s="31"/>
      <c r="W78" s="31"/>
      <c r="X78" s="31"/>
      <c r="Y78" s="31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9"/>
    </row>
    <row r="79" spans="1:36" x14ac:dyDescent="0.25">
      <c r="A79" s="36" t="s">
        <v>20</v>
      </c>
      <c r="B79" s="36" t="s">
        <v>20</v>
      </c>
      <c r="C79" s="36" t="s">
        <v>20</v>
      </c>
      <c r="D79" s="36" t="s">
        <v>20</v>
      </c>
      <c r="E79" s="36" t="s">
        <v>20</v>
      </c>
      <c r="F79" s="37" t="s">
        <v>20</v>
      </c>
      <c r="G79" s="38" t="s">
        <v>20</v>
      </c>
      <c r="H79" s="38" t="s">
        <v>20</v>
      </c>
      <c r="I79" s="38" t="s">
        <v>20</v>
      </c>
      <c r="J79" s="38" t="s">
        <v>20</v>
      </c>
      <c r="K79" s="39" t="s">
        <v>20</v>
      </c>
      <c r="L79" s="39" t="s">
        <v>20</v>
      </c>
      <c r="M79" s="39" t="s">
        <v>20</v>
      </c>
      <c r="N79" s="39" t="s">
        <v>20</v>
      </c>
      <c r="O79" s="39" t="s">
        <v>20</v>
      </c>
      <c r="P79" s="40">
        <f>IF(COUNTA(G79:O79)=0,"",IFERROR(IF(K79="",0,CEILING(K79/'02_Capacity'!$E$25,1))+IF(L79="",0,CEILING(L79/'02_Capacity'!$E$20,1))+IF(M79="",0,CEILING(M79/'02_Capacity'!$E$20,1))+IF(N79="",0,CEILING(N79/'02_Capacity'!$E$20,1))+IF(O79="",0,CEILING(O79/'02_Capacity'!$E$20,1)),""))</f>
      </c>
      <c r="Q79" s="41" t="s">
        <v>20</v>
      </c>
      <c r="R79" s="38" t="s">
        <v>20</v>
      </c>
      <c r="S79" s="38" t="s">
        <v>20</v>
      </c>
      <c r="T79" s="38" t="s">
        <v>20</v>
      </c>
      <c r="U79" s="31"/>
      <c r="V79" s="31"/>
      <c r="W79" s="31"/>
      <c r="X79" s="31"/>
      <c r="Y79" s="31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9"/>
    </row>
    <row r="80" spans="1:36" x14ac:dyDescent="0.25">
      <c r="A80" s="36" t="s">
        <v>20</v>
      </c>
      <c r="B80" s="36" t="s">
        <v>20</v>
      </c>
      <c r="C80" s="36" t="s">
        <v>20</v>
      </c>
      <c r="D80" s="36" t="s">
        <v>20</v>
      </c>
      <c r="E80" s="36" t="s">
        <v>20</v>
      </c>
      <c r="F80" s="37" t="s">
        <v>20</v>
      </c>
      <c r="G80" s="38" t="s">
        <v>20</v>
      </c>
      <c r="H80" s="38" t="s">
        <v>20</v>
      </c>
      <c r="I80" s="38" t="s">
        <v>20</v>
      </c>
      <c r="J80" s="38" t="s">
        <v>20</v>
      </c>
      <c r="K80" s="39" t="s">
        <v>20</v>
      </c>
      <c r="L80" s="39" t="s">
        <v>20</v>
      </c>
      <c r="M80" s="39" t="s">
        <v>20</v>
      </c>
      <c r="N80" s="39" t="s">
        <v>20</v>
      </c>
      <c r="O80" s="39" t="s">
        <v>20</v>
      </c>
      <c r="P80" s="40">
        <f>IF(COUNTA(G80:O80)=0,"",IFERROR(IF(K80="",0,CEILING(K80/'02_Capacity'!$E$25,1))+IF(L80="",0,CEILING(L80/'02_Capacity'!$E$20,1))+IF(M80="",0,CEILING(M80/'02_Capacity'!$E$20,1))+IF(N80="",0,CEILING(N80/'02_Capacity'!$E$20,1))+IF(O80="",0,CEILING(O80/'02_Capacity'!$E$20,1)),""))</f>
      </c>
      <c r="Q80" s="41" t="s">
        <v>20</v>
      </c>
      <c r="R80" s="38" t="s">
        <v>20</v>
      </c>
      <c r="S80" s="38" t="s">
        <v>20</v>
      </c>
      <c r="T80" s="38" t="s">
        <v>20</v>
      </c>
      <c r="U80" s="31"/>
      <c r="V80" s="31"/>
      <c r="W80" s="31"/>
      <c r="X80" s="31"/>
      <c r="Y80" s="31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9"/>
    </row>
    <row r="81" spans="1:36" x14ac:dyDescent="0.25">
      <c r="A81" s="36" t="s">
        <v>20</v>
      </c>
      <c r="B81" s="36" t="s">
        <v>20</v>
      </c>
      <c r="C81" s="36" t="s">
        <v>20</v>
      </c>
      <c r="D81" s="36" t="s">
        <v>20</v>
      </c>
      <c r="E81" s="36" t="s">
        <v>20</v>
      </c>
      <c r="F81" s="37" t="s">
        <v>20</v>
      </c>
      <c r="G81" s="38" t="s">
        <v>20</v>
      </c>
      <c r="H81" s="38" t="s">
        <v>20</v>
      </c>
      <c r="I81" s="38" t="s">
        <v>20</v>
      </c>
      <c r="J81" s="38" t="s">
        <v>20</v>
      </c>
      <c r="K81" s="39" t="s">
        <v>20</v>
      </c>
      <c r="L81" s="39" t="s">
        <v>20</v>
      </c>
      <c r="M81" s="39" t="s">
        <v>20</v>
      </c>
      <c r="N81" s="39" t="s">
        <v>20</v>
      </c>
      <c r="O81" s="39" t="s">
        <v>20</v>
      </c>
      <c r="P81" s="40">
        <f>IF(COUNTA(G81:O81)=0,"",IFERROR(IF(K81="",0,CEILING(K81/'02_Capacity'!$E$25,1))+IF(L81="",0,CEILING(L81/'02_Capacity'!$E$20,1))+IF(M81="",0,CEILING(M81/'02_Capacity'!$E$20,1))+IF(N81="",0,CEILING(N81/'02_Capacity'!$E$20,1))+IF(O81="",0,CEILING(O81/'02_Capacity'!$E$20,1)),""))</f>
      </c>
      <c r="Q81" s="41" t="s">
        <v>20</v>
      </c>
      <c r="R81" s="38" t="s">
        <v>20</v>
      </c>
      <c r="S81" s="38" t="s">
        <v>20</v>
      </c>
      <c r="T81" s="38" t="s">
        <v>20</v>
      </c>
      <c r="U81" s="31"/>
      <c r="V81" s="31"/>
      <c r="W81" s="31"/>
      <c r="X81" s="31"/>
      <c r="Y81" s="31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9"/>
    </row>
    <row r="82" spans="1:36" x14ac:dyDescent="0.25">
      <c r="A82" s="36" t="s">
        <v>20</v>
      </c>
      <c r="B82" s="36" t="s">
        <v>20</v>
      </c>
      <c r="C82" s="36" t="s">
        <v>20</v>
      </c>
      <c r="D82" s="36" t="s">
        <v>20</v>
      </c>
      <c r="E82" s="36" t="s">
        <v>20</v>
      </c>
      <c r="F82" s="37" t="s">
        <v>20</v>
      </c>
      <c r="G82" s="38" t="s">
        <v>20</v>
      </c>
      <c r="H82" s="38" t="s">
        <v>20</v>
      </c>
      <c r="I82" s="38" t="s">
        <v>20</v>
      </c>
      <c r="J82" s="38" t="s">
        <v>20</v>
      </c>
      <c r="K82" s="39" t="s">
        <v>20</v>
      </c>
      <c r="L82" s="39" t="s">
        <v>20</v>
      </c>
      <c r="M82" s="39" t="s">
        <v>20</v>
      </c>
      <c r="N82" s="39" t="s">
        <v>20</v>
      </c>
      <c r="O82" s="39" t="s">
        <v>20</v>
      </c>
      <c r="P82" s="40">
        <f>IF(COUNTA(G82:O82)=0,"",IFERROR(IF(K82="",0,CEILING(K82/'02_Capacity'!$E$25,1))+IF(L82="",0,CEILING(L82/'02_Capacity'!$E$20,1))+IF(M82="",0,CEILING(M82/'02_Capacity'!$E$20,1))+IF(N82="",0,CEILING(N82/'02_Capacity'!$E$20,1))+IF(O82="",0,CEILING(O82/'02_Capacity'!$E$20,1)),""))</f>
      </c>
      <c r="Q82" s="41" t="s">
        <v>20</v>
      </c>
      <c r="R82" s="38" t="s">
        <v>20</v>
      </c>
      <c r="S82" s="38" t="s">
        <v>20</v>
      </c>
      <c r="T82" s="38" t="s">
        <v>20</v>
      </c>
      <c r="U82" s="31"/>
      <c r="V82" s="31"/>
      <c r="W82" s="31"/>
      <c r="X82" s="31"/>
      <c r="Y82" s="31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9"/>
    </row>
    <row r="83" spans="1:36" x14ac:dyDescent="0.25">
      <c r="A83" s="36" t="s">
        <v>20</v>
      </c>
      <c r="B83" s="36" t="s">
        <v>20</v>
      </c>
      <c r="C83" s="36" t="s">
        <v>20</v>
      </c>
      <c r="D83" s="36" t="s">
        <v>20</v>
      </c>
      <c r="E83" s="36" t="s">
        <v>20</v>
      </c>
      <c r="F83" s="37" t="s">
        <v>20</v>
      </c>
      <c r="G83" s="38" t="s">
        <v>20</v>
      </c>
      <c r="H83" s="38" t="s">
        <v>20</v>
      </c>
      <c r="I83" s="38" t="s">
        <v>20</v>
      </c>
      <c r="J83" s="38" t="s">
        <v>20</v>
      </c>
      <c r="K83" s="39" t="s">
        <v>20</v>
      </c>
      <c r="L83" s="39" t="s">
        <v>20</v>
      </c>
      <c r="M83" s="39" t="s">
        <v>20</v>
      </c>
      <c r="N83" s="39" t="s">
        <v>20</v>
      </c>
      <c r="O83" s="39" t="s">
        <v>20</v>
      </c>
      <c r="P83" s="40">
        <f>IF(COUNTA(G83:O83)=0,"",IFERROR(IF(K83="",0,CEILING(K83/'02_Capacity'!$E$25,1))+IF(L83="",0,CEILING(L83/'02_Capacity'!$E$20,1))+IF(M83="",0,CEILING(M83/'02_Capacity'!$E$20,1))+IF(N83="",0,CEILING(N83/'02_Capacity'!$E$20,1))+IF(O83="",0,CEILING(O83/'02_Capacity'!$E$20,1)),""))</f>
      </c>
      <c r="Q83" s="41" t="s">
        <v>20</v>
      </c>
      <c r="R83" s="38" t="s">
        <v>20</v>
      </c>
      <c r="S83" s="38" t="s">
        <v>20</v>
      </c>
      <c r="T83" s="38" t="s">
        <v>20</v>
      </c>
      <c r="U83" s="31"/>
      <c r="V83" s="31"/>
      <c r="W83" s="31"/>
      <c r="X83" s="31"/>
      <c r="Y83" s="31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9"/>
    </row>
    <row r="84" spans="1:36" x14ac:dyDescent="0.25">
      <c r="A84" s="36" t="s">
        <v>20</v>
      </c>
      <c r="B84" s="36" t="s">
        <v>20</v>
      </c>
      <c r="C84" s="36" t="s">
        <v>20</v>
      </c>
      <c r="D84" s="36" t="s">
        <v>20</v>
      </c>
      <c r="E84" s="36" t="s">
        <v>20</v>
      </c>
      <c r="F84" s="37" t="s">
        <v>20</v>
      </c>
      <c r="G84" s="38" t="s">
        <v>20</v>
      </c>
      <c r="H84" s="38" t="s">
        <v>20</v>
      </c>
      <c r="I84" s="38" t="s">
        <v>20</v>
      </c>
      <c r="J84" s="38" t="s">
        <v>20</v>
      </c>
      <c r="K84" s="39" t="s">
        <v>20</v>
      </c>
      <c r="L84" s="39" t="s">
        <v>20</v>
      </c>
      <c r="M84" s="39" t="s">
        <v>20</v>
      </c>
      <c r="N84" s="39" t="s">
        <v>20</v>
      </c>
      <c r="O84" s="39" t="s">
        <v>20</v>
      </c>
      <c r="P84" s="40">
        <f>IF(COUNTA(G84:O84)=0,"",IFERROR(IF(K84="",0,CEILING(K84/'02_Capacity'!$E$25,1))+IF(L84="",0,CEILING(L84/'02_Capacity'!$E$20,1))+IF(M84="",0,CEILING(M84/'02_Capacity'!$E$20,1))+IF(N84="",0,CEILING(N84/'02_Capacity'!$E$20,1))+IF(O84="",0,CEILING(O84/'02_Capacity'!$E$20,1)),""))</f>
      </c>
      <c r="Q84" s="41" t="s">
        <v>20</v>
      </c>
      <c r="R84" s="38" t="s">
        <v>20</v>
      </c>
      <c r="S84" s="38" t="s">
        <v>20</v>
      </c>
      <c r="T84" s="38" t="s">
        <v>20</v>
      </c>
      <c r="U84" s="31"/>
      <c r="V84" s="31"/>
      <c r="W84" s="31"/>
      <c r="X84" s="31"/>
      <c r="Y84" s="31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9"/>
    </row>
    <row r="85" spans="1:36" x14ac:dyDescent="0.25">
      <c r="A85" s="36" t="s">
        <v>20</v>
      </c>
      <c r="B85" s="36" t="s">
        <v>20</v>
      </c>
      <c r="C85" s="36" t="s">
        <v>20</v>
      </c>
      <c r="D85" s="36" t="s">
        <v>20</v>
      </c>
      <c r="E85" s="36" t="s">
        <v>20</v>
      </c>
      <c r="F85" s="37" t="s">
        <v>20</v>
      </c>
      <c r="G85" s="38" t="s">
        <v>20</v>
      </c>
      <c r="H85" s="38" t="s">
        <v>20</v>
      </c>
      <c r="I85" s="38" t="s">
        <v>20</v>
      </c>
      <c r="J85" s="38" t="s">
        <v>20</v>
      </c>
      <c r="K85" s="39" t="s">
        <v>20</v>
      </c>
      <c r="L85" s="39" t="s">
        <v>20</v>
      </c>
      <c r="M85" s="39" t="s">
        <v>20</v>
      </c>
      <c r="N85" s="39" t="s">
        <v>20</v>
      </c>
      <c r="O85" s="39" t="s">
        <v>20</v>
      </c>
      <c r="P85" s="40">
        <f>IF(COUNTA(G85:O85)=0,"",IFERROR(IF(K85="",0,CEILING(K85/'02_Capacity'!$E$25,1))+IF(L85="",0,CEILING(L85/'02_Capacity'!$E$20,1))+IF(M85="",0,CEILING(M85/'02_Capacity'!$E$20,1))+IF(N85="",0,CEILING(N85/'02_Capacity'!$E$20,1))+IF(O85="",0,CEILING(O85/'02_Capacity'!$E$20,1)),""))</f>
      </c>
      <c r="Q85" s="41" t="s">
        <v>20</v>
      </c>
      <c r="R85" s="38" t="s">
        <v>20</v>
      </c>
      <c r="S85" s="38" t="s">
        <v>20</v>
      </c>
      <c r="T85" s="38" t="s">
        <v>20</v>
      </c>
      <c r="U85" s="31"/>
      <c r="V85" s="31"/>
      <c r="W85" s="31"/>
      <c r="X85" s="31"/>
      <c r="Y85" s="31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9"/>
    </row>
    <row r="86" spans="1:36" x14ac:dyDescent="0.25">
      <c r="A86" s="36" t="s">
        <v>20</v>
      </c>
      <c r="B86" s="36" t="s">
        <v>20</v>
      </c>
      <c r="C86" s="36" t="s">
        <v>20</v>
      </c>
      <c r="D86" s="36" t="s">
        <v>20</v>
      </c>
      <c r="E86" s="36" t="s">
        <v>20</v>
      </c>
      <c r="F86" s="37" t="s">
        <v>20</v>
      </c>
      <c r="G86" s="38" t="s">
        <v>20</v>
      </c>
      <c r="H86" s="38" t="s">
        <v>20</v>
      </c>
      <c r="I86" s="38" t="s">
        <v>20</v>
      </c>
      <c r="J86" s="38" t="s">
        <v>20</v>
      </c>
      <c r="K86" s="39" t="s">
        <v>20</v>
      </c>
      <c r="L86" s="39" t="s">
        <v>20</v>
      </c>
      <c r="M86" s="39" t="s">
        <v>20</v>
      </c>
      <c r="N86" s="39" t="s">
        <v>20</v>
      </c>
      <c r="O86" s="39" t="s">
        <v>20</v>
      </c>
      <c r="P86" s="40">
        <f>IF(COUNTA(G86:O86)=0,"",IFERROR(IF(K86="",0,CEILING(K86/'02_Capacity'!$E$25,1))+IF(L86="",0,CEILING(L86/'02_Capacity'!$E$20,1))+IF(M86="",0,CEILING(M86/'02_Capacity'!$E$20,1))+IF(N86="",0,CEILING(N86/'02_Capacity'!$E$20,1))+IF(O86="",0,CEILING(O86/'02_Capacity'!$E$20,1)),""))</f>
      </c>
      <c r="Q86" s="41" t="s">
        <v>20</v>
      </c>
      <c r="R86" s="38" t="s">
        <v>20</v>
      </c>
      <c r="S86" s="38" t="s">
        <v>20</v>
      </c>
      <c r="T86" s="38" t="s">
        <v>20</v>
      </c>
      <c r="U86" s="31"/>
      <c r="V86" s="31"/>
      <c r="W86" s="31"/>
      <c r="X86" s="31"/>
      <c r="Y86" s="31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9"/>
    </row>
    <row r="87" spans="1:36" x14ac:dyDescent="0.25">
      <c r="A87" s="36" t="s">
        <v>20</v>
      </c>
      <c r="B87" s="36" t="s">
        <v>20</v>
      </c>
      <c r="C87" s="36" t="s">
        <v>20</v>
      </c>
      <c r="D87" s="36" t="s">
        <v>20</v>
      </c>
      <c r="E87" s="36" t="s">
        <v>20</v>
      </c>
      <c r="F87" s="37" t="s">
        <v>20</v>
      </c>
      <c r="G87" s="38" t="s">
        <v>20</v>
      </c>
      <c r="H87" s="38" t="s">
        <v>20</v>
      </c>
      <c r="I87" s="38" t="s">
        <v>20</v>
      </c>
      <c r="J87" s="38" t="s">
        <v>20</v>
      </c>
      <c r="K87" s="39" t="s">
        <v>20</v>
      </c>
      <c r="L87" s="39" t="s">
        <v>20</v>
      </c>
      <c r="M87" s="39" t="s">
        <v>20</v>
      </c>
      <c r="N87" s="39" t="s">
        <v>20</v>
      </c>
      <c r="O87" s="39" t="s">
        <v>20</v>
      </c>
      <c r="P87" s="40">
        <f>IF(COUNTA(G87:O87)=0,"",IFERROR(IF(K87="",0,CEILING(K87/'02_Capacity'!$E$25,1))+IF(L87="",0,CEILING(L87/'02_Capacity'!$E$20,1))+IF(M87="",0,CEILING(M87/'02_Capacity'!$E$20,1))+IF(N87="",0,CEILING(N87/'02_Capacity'!$E$20,1))+IF(O87="",0,CEILING(O87/'02_Capacity'!$E$20,1)),""))</f>
      </c>
      <c r="Q87" s="41" t="s">
        <v>20</v>
      </c>
      <c r="R87" s="38" t="s">
        <v>20</v>
      </c>
      <c r="S87" s="38" t="s">
        <v>20</v>
      </c>
      <c r="T87" s="38" t="s">
        <v>20</v>
      </c>
      <c r="U87" s="31"/>
      <c r="V87" s="31"/>
      <c r="W87" s="31"/>
      <c r="X87" s="31"/>
      <c r="Y87" s="31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9"/>
    </row>
    <row r="88" spans="1:36" x14ac:dyDescent="0.25">
      <c r="A88" s="36" t="s">
        <v>20</v>
      </c>
      <c r="B88" s="36" t="s">
        <v>20</v>
      </c>
      <c r="C88" s="36" t="s">
        <v>20</v>
      </c>
      <c r="D88" s="36" t="s">
        <v>20</v>
      </c>
      <c r="E88" s="36" t="s">
        <v>20</v>
      </c>
      <c r="F88" s="37" t="s">
        <v>20</v>
      </c>
      <c r="G88" s="38" t="s">
        <v>20</v>
      </c>
      <c r="H88" s="38" t="s">
        <v>20</v>
      </c>
      <c r="I88" s="38" t="s">
        <v>20</v>
      </c>
      <c r="J88" s="38" t="s">
        <v>20</v>
      </c>
      <c r="K88" s="39" t="s">
        <v>20</v>
      </c>
      <c r="L88" s="39" t="s">
        <v>20</v>
      </c>
      <c r="M88" s="39" t="s">
        <v>20</v>
      </c>
      <c r="N88" s="39" t="s">
        <v>20</v>
      </c>
      <c r="O88" s="39" t="s">
        <v>20</v>
      </c>
      <c r="P88" s="40">
        <f>IF(COUNTA(G88:O88)=0,"",IFERROR(IF(K88="",0,CEILING(K88/'02_Capacity'!$E$25,1))+IF(L88="",0,CEILING(L88/'02_Capacity'!$E$20,1))+IF(M88="",0,CEILING(M88/'02_Capacity'!$E$20,1))+IF(N88="",0,CEILING(N88/'02_Capacity'!$E$20,1))+IF(O88="",0,CEILING(O88/'02_Capacity'!$E$20,1)),""))</f>
      </c>
      <c r="Q88" s="41" t="s">
        <v>20</v>
      </c>
      <c r="R88" s="38" t="s">
        <v>20</v>
      </c>
      <c r="S88" s="38" t="s">
        <v>20</v>
      </c>
      <c r="T88" s="38" t="s">
        <v>20</v>
      </c>
      <c r="U88" s="31"/>
      <c r="V88" s="31"/>
      <c r="W88" s="31"/>
      <c r="X88" s="31"/>
      <c r="Y88" s="31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9"/>
    </row>
    <row r="89" spans="1:36" x14ac:dyDescent="0.25">
      <c r="A89" s="36" t="s">
        <v>20</v>
      </c>
      <c r="B89" s="36" t="s">
        <v>20</v>
      </c>
      <c r="C89" s="36" t="s">
        <v>20</v>
      </c>
      <c r="D89" s="36" t="s">
        <v>20</v>
      </c>
      <c r="E89" s="36" t="s">
        <v>20</v>
      </c>
      <c r="F89" s="37" t="s">
        <v>20</v>
      </c>
      <c r="G89" s="38" t="s">
        <v>20</v>
      </c>
      <c r="H89" s="38" t="s">
        <v>20</v>
      </c>
      <c r="I89" s="38" t="s">
        <v>20</v>
      </c>
      <c r="J89" s="38" t="s">
        <v>20</v>
      </c>
      <c r="K89" s="39" t="s">
        <v>20</v>
      </c>
      <c r="L89" s="39" t="s">
        <v>20</v>
      </c>
      <c r="M89" s="39" t="s">
        <v>20</v>
      </c>
      <c r="N89" s="39" t="s">
        <v>20</v>
      </c>
      <c r="O89" s="39" t="s">
        <v>20</v>
      </c>
      <c r="P89" s="40">
        <f>IF(COUNTA(G89:O89)=0,"",IFERROR(IF(K89="",0,CEILING(K89/'02_Capacity'!$E$25,1))+IF(L89="",0,CEILING(L89/'02_Capacity'!$E$20,1))+IF(M89="",0,CEILING(M89/'02_Capacity'!$E$20,1))+IF(N89="",0,CEILING(N89/'02_Capacity'!$E$20,1))+IF(O89="",0,CEILING(O89/'02_Capacity'!$E$20,1)),""))</f>
      </c>
      <c r="Q89" s="41" t="s">
        <v>20</v>
      </c>
      <c r="R89" s="38" t="s">
        <v>20</v>
      </c>
      <c r="S89" s="38" t="s">
        <v>20</v>
      </c>
      <c r="T89" s="38" t="s">
        <v>20</v>
      </c>
      <c r="U89" s="31"/>
      <c r="V89" s="31"/>
      <c r="W89" s="31"/>
      <c r="X89" s="31"/>
      <c r="Y89" s="31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9"/>
    </row>
    <row r="90" spans="1:36" x14ac:dyDescent="0.25">
      <c r="A90" s="36" t="s">
        <v>20</v>
      </c>
      <c r="B90" s="36" t="s">
        <v>20</v>
      </c>
      <c r="C90" s="36" t="s">
        <v>20</v>
      </c>
      <c r="D90" s="36" t="s">
        <v>20</v>
      </c>
      <c r="E90" s="36" t="s">
        <v>20</v>
      </c>
      <c r="F90" s="37" t="s">
        <v>20</v>
      </c>
      <c r="G90" s="38" t="s">
        <v>20</v>
      </c>
      <c r="H90" s="38" t="s">
        <v>20</v>
      </c>
      <c r="I90" s="38" t="s">
        <v>20</v>
      </c>
      <c r="J90" s="38" t="s">
        <v>20</v>
      </c>
      <c r="K90" s="39" t="s">
        <v>20</v>
      </c>
      <c r="L90" s="39" t="s">
        <v>20</v>
      </c>
      <c r="M90" s="39" t="s">
        <v>20</v>
      </c>
      <c r="N90" s="39" t="s">
        <v>20</v>
      </c>
      <c r="O90" s="39" t="s">
        <v>20</v>
      </c>
      <c r="P90" s="40">
        <f>IF(COUNTA(G90:O90)=0,"",IFERROR(IF(K90="",0,CEILING(K90/'02_Capacity'!$E$25,1))+IF(L90="",0,CEILING(L90/'02_Capacity'!$E$20,1))+IF(M90="",0,CEILING(M90/'02_Capacity'!$E$20,1))+IF(N90="",0,CEILING(N90/'02_Capacity'!$E$20,1))+IF(O90="",0,CEILING(O90/'02_Capacity'!$E$20,1)),""))</f>
      </c>
      <c r="Q90" s="41" t="s">
        <v>20</v>
      </c>
      <c r="R90" s="38" t="s">
        <v>20</v>
      </c>
      <c r="S90" s="38" t="s">
        <v>20</v>
      </c>
      <c r="T90" s="38" t="s">
        <v>20</v>
      </c>
      <c r="U90" s="31"/>
      <c r="V90" s="31"/>
      <c r="W90" s="31"/>
      <c r="X90" s="31"/>
      <c r="Y90" s="31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9"/>
    </row>
    <row r="91" spans="1:36" x14ac:dyDescent="0.25">
      <c r="A91" s="36" t="s">
        <v>20</v>
      </c>
      <c r="B91" s="36" t="s">
        <v>20</v>
      </c>
      <c r="C91" s="36" t="s">
        <v>20</v>
      </c>
      <c r="D91" s="36" t="s">
        <v>20</v>
      </c>
      <c r="E91" s="36" t="s">
        <v>20</v>
      </c>
      <c r="F91" s="37" t="s">
        <v>20</v>
      </c>
      <c r="G91" s="38" t="s">
        <v>20</v>
      </c>
      <c r="H91" s="38" t="s">
        <v>20</v>
      </c>
      <c r="I91" s="38" t="s">
        <v>20</v>
      </c>
      <c r="J91" s="38" t="s">
        <v>20</v>
      </c>
      <c r="K91" s="39" t="s">
        <v>20</v>
      </c>
      <c r="L91" s="39" t="s">
        <v>20</v>
      </c>
      <c r="M91" s="39" t="s">
        <v>20</v>
      </c>
      <c r="N91" s="39" t="s">
        <v>20</v>
      </c>
      <c r="O91" s="39" t="s">
        <v>20</v>
      </c>
      <c r="P91" s="40">
        <f>IF(COUNTA(G91:O91)=0,"",IFERROR(IF(K91="",0,CEILING(K91/'02_Capacity'!$E$25,1))+IF(L91="",0,CEILING(L91/'02_Capacity'!$E$20,1))+IF(M91="",0,CEILING(M91/'02_Capacity'!$E$20,1))+IF(N91="",0,CEILING(N91/'02_Capacity'!$E$20,1))+IF(O91="",0,CEILING(O91/'02_Capacity'!$E$20,1)),""))</f>
      </c>
      <c r="Q91" s="41" t="s">
        <v>20</v>
      </c>
      <c r="R91" s="38" t="s">
        <v>20</v>
      </c>
      <c r="S91" s="38" t="s">
        <v>20</v>
      </c>
      <c r="T91" s="38" t="s">
        <v>20</v>
      </c>
      <c r="U91" s="31"/>
      <c r="V91" s="31"/>
      <c r="W91" s="31"/>
      <c r="X91" s="31"/>
      <c r="Y91" s="31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9"/>
    </row>
    <row r="92" spans="1:36" x14ac:dyDescent="0.25">
      <c r="A92" s="36" t="s">
        <v>20</v>
      </c>
      <c r="B92" s="36" t="s">
        <v>20</v>
      </c>
      <c r="C92" s="36" t="s">
        <v>20</v>
      </c>
      <c r="D92" s="36" t="s">
        <v>20</v>
      </c>
      <c r="E92" s="36" t="s">
        <v>20</v>
      </c>
      <c r="F92" s="37" t="s">
        <v>20</v>
      </c>
      <c r="G92" s="38" t="s">
        <v>20</v>
      </c>
      <c r="H92" s="38" t="s">
        <v>20</v>
      </c>
      <c r="I92" s="38" t="s">
        <v>20</v>
      </c>
      <c r="J92" s="38" t="s">
        <v>20</v>
      </c>
      <c r="K92" s="39" t="s">
        <v>20</v>
      </c>
      <c r="L92" s="39" t="s">
        <v>20</v>
      </c>
      <c r="M92" s="39" t="s">
        <v>20</v>
      </c>
      <c r="N92" s="39" t="s">
        <v>20</v>
      </c>
      <c r="O92" s="39" t="s">
        <v>20</v>
      </c>
      <c r="P92" s="40">
        <f>IF(COUNTA(G92:O92)=0,"",IFERROR(IF(K92="",0,CEILING(K92/'02_Capacity'!$E$25,1))+IF(L92="",0,CEILING(L92/'02_Capacity'!$E$20,1))+IF(M92="",0,CEILING(M92/'02_Capacity'!$E$20,1))+IF(N92="",0,CEILING(N92/'02_Capacity'!$E$20,1))+IF(O92="",0,CEILING(O92/'02_Capacity'!$E$20,1)),""))</f>
      </c>
      <c r="Q92" s="41" t="s">
        <v>20</v>
      </c>
      <c r="R92" s="38" t="s">
        <v>20</v>
      </c>
      <c r="S92" s="38" t="s">
        <v>20</v>
      </c>
      <c r="T92" s="38" t="s">
        <v>20</v>
      </c>
      <c r="U92" s="31"/>
      <c r="V92" s="31"/>
      <c r="W92" s="31"/>
      <c r="X92" s="31"/>
      <c r="Y92" s="31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9"/>
    </row>
    <row r="93" spans="1:36" x14ac:dyDescent="0.25">
      <c r="A93" s="36" t="s">
        <v>20</v>
      </c>
      <c r="B93" s="36" t="s">
        <v>20</v>
      </c>
      <c r="C93" s="36" t="s">
        <v>20</v>
      </c>
      <c r="D93" s="36" t="s">
        <v>20</v>
      </c>
      <c r="E93" s="36" t="s">
        <v>20</v>
      </c>
      <c r="F93" s="37" t="s">
        <v>20</v>
      </c>
      <c r="G93" s="38" t="s">
        <v>20</v>
      </c>
      <c r="H93" s="38" t="s">
        <v>20</v>
      </c>
      <c r="I93" s="38" t="s">
        <v>20</v>
      </c>
      <c r="J93" s="38" t="s">
        <v>20</v>
      </c>
      <c r="K93" s="39" t="s">
        <v>20</v>
      </c>
      <c r="L93" s="39" t="s">
        <v>20</v>
      </c>
      <c r="M93" s="39" t="s">
        <v>20</v>
      </c>
      <c r="N93" s="39" t="s">
        <v>20</v>
      </c>
      <c r="O93" s="39" t="s">
        <v>20</v>
      </c>
      <c r="P93" s="40">
        <f>IF(COUNTA(G93:O93)=0,"",IFERROR(IF(K93="",0,CEILING(K93/'02_Capacity'!$E$25,1))+IF(L93="",0,CEILING(L93/'02_Capacity'!$E$20,1))+IF(M93="",0,CEILING(M93/'02_Capacity'!$E$20,1))+IF(N93="",0,CEILING(N93/'02_Capacity'!$E$20,1))+IF(O93="",0,CEILING(O93/'02_Capacity'!$E$20,1)),""))</f>
      </c>
      <c r="Q93" s="41" t="s">
        <v>20</v>
      </c>
      <c r="R93" s="38" t="s">
        <v>20</v>
      </c>
      <c r="S93" s="38" t="s">
        <v>20</v>
      </c>
      <c r="T93" s="38" t="s">
        <v>20</v>
      </c>
      <c r="U93" s="31"/>
      <c r="V93" s="31"/>
      <c r="W93" s="31"/>
      <c r="X93" s="31"/>
      <c r="Y93" s="31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9"/>
    </row>
    <row r="94" spans="1:36" x14ac:dyDescent="0.25">
      <c r="A94" s="36" t="s">
        <v>20</v>
      </c>
      <c r="B94" s="36" t="s">
        <v>20</v>
      </c>
      <c r="C94" s="36" t="s">
        <v>20</v>
      </c>
      <c r="D94" s="36" t="s">
        <v>20</v>
      </c>
      <c r="E94" s="36" t="s">
        <v>20</v>
      </c>
      <c r="F94" s="37" t="s">
        <v>20</v>
      </c>
      <c r="G94" s="38" t="s">
        <v>20</v>
      </c>
      <c r="H94" s="38" t="s">
        <v>20</v>
      </c>
      <c r="I94" s="38" t="s">
        <v>20</v>
      </c>
      <c r="J94" s="38" t="s">
        <v>20</v>
      </c>
      <c r="K94" s="39" t="s">
        <v>20</v>
      </c>
      <c r="L94" s="39" t="s">
        <v>20</v>
      </c>
      <c r="M94" s="39" t="s">
        <v>20</v>
      </c>
      <c r="N94" s="39" t="s">
        <v>20</v>
      </c>
      <c r="O94" s="39" t="s">
        <v>20</v>
      </c>
      <c r="P94" s="40">
        <f>IF(COUNTA(G94:O94)=0,"",IFERROR(IF(K94="",0,CEILING(K94/'02_Capacity'!$E$25,1))+IF(L94="",0,CEILING(L94/'02_Capacity'!$E$20,1))+IF(M94="",0,CEILING(M94/'02_Capacity'!$E$20,1))+IF(N94="",0,CEILING(N94/'02_Capacity'!$E$20,1))+IF(O94="",0,CEILING(O94/'02_Capacity'!$E$20,1)),""))</f>
      </c>
      <c r="Q94" s="41" t="s">
        <v>20</v>
      </c>
      <c r="R94" s="38" t="s">
        <v>20</v>
      </c>
      <c r="S94" s="38" t="s">
        <v>20</v>
      </c>
      <c r="T94" s="38" t="s">
        <v>20</v>
      </c>
      <c r="U94" s="31"/>
      <c r="V94" s="31"/>
      <c r="W94" s="31"/>
      <c r="X94" s="31"/>
      <c r="Y94" s="31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9"/>
    </row>
    <row r="95" spans="1:36" x14ac:dyDescent="0.25">
      <c r="A95" s="36" t="s">
        <v>20</v>
      </c>
      <c r="B95" s="36" t="s">
        <v>20</v>
      </c>
      <c r="C95" s="36" t="s">
        <v>20</v>
      </c>
      <c r="D95" s="36" t="s">
        <v>20</v>
      </c>
      <c r="E95" s="36" t="s">
        <v>20</v>
      </c>
      <c r="F95" s="37" t="s">
        <v>20</v>
      </c>
      <c r="G95" s="38" t="s">
        <v>20</v>
      </c>
      <c r="H95" s="38" t="s">
        <v>20</v>
      </c>
      <c r="I95" s="38" t="s">
        <v>20</v>
      </c>
      <c r="J95" s="38" t="s">
        <v>20</v>
      </c>
      <c r="K95" s="39" t="s">
        <v>20</v>
      </c>
      <c r="L95" s="39" t="s">
        <v>20</v>
      </c>
      <c r="M95" s="39" t="s">
        <v>20</v>
      </c>
      <c r="N95" s="39" t="s">
        <v>20</v>
      </c>
      <c r="O95" s="39" t="s">
        <v>20</v>
      </c>
      <c r="P95" s="40">
        <f>IF(COUNTA(G95:O95)=0,"",IFERROR(IF(K95="",0,CEILING(K95/'02_Capacity'!$E$25,1))+IF(L95="",0,CEILING(L95/'02_Capacity'!$E$20,1))+IF(M95="",0,CEILING(M95/'02_Capacity'!$E$20,1))+IF(N95="",0,CEILING(N95/'02_Capacity'!$E$20,1))+IF(O95="",0,CEILING(O95/'02_Capacity'!$E$20,1)),""))</f>
      </c>
      <c r="Q95" s="41" t="s">
        <v>20</v>
      </c>
      <c r="R95" s="38" t="s">
        <v>20</v>
      </c>
      <c r="S95" s="38" t="s">
        <v>20</v>
      </c>
      <c r="T95" s="38" t="s">
        <v>20</v>
      </c>
      <c r="U95" s="31"/>
      <c r="V95" s="31"/>
      <c r="W95" s="31"/>
      <c r="X95" s="31"/>
      <c r="Y95" s="31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9"/>
    </row>
    <row r="96" spans="1:36" x14ac:dyDescent="0.25">
      <c r="A96" s="36" t="s">
        <v>20</v>
      </c>
      <c r="B96" s="36" t="s">
        <v>20</v>
      </c>
      <c r="C96" s="36" t="s">
        <v>20</v>
      </c>
      <c r="D96" s="36" t="s">
        <v>20</v>
      </c>
      <c r="E96" s="36" t="s">
        <v>20</v>
      </c>
      <c r="F96" s="37" t="s">
        <v>20</v>
      </c>
      <c r="G96" s="38" t="s">
        <v>20</v>
      </c>
      <c r="H96" s="38" t="s">
        <v>20</v>
      </c>
      <c r="I96" s="38" t="s">
        <v>20</v>
      </c>
      <c r="J96" s="38" t="s">
        <v>20</v>
      </c>
      <c r="K96" s="39" t="s">
        <v>20</v>
      </c>
      <c r="L96" s="39" t="s">
        <v>20</v>
      </c>
      <c r="M96" s="39" t="s">
        <v>20</v>
      </c>
      <c r="N96" s="39" t="s">
        <v>20</v>
      </c>
      <c r="O96" s="39" t="s">
        <v>20</v>
      </c>
      <c r="P96" s="40">
        <f>IF(COUNTA(G96:O96)=0,"",IFERROR(IF(K96="",0,CEILING(K96/'02_Capacity'!$E$25,1))+IF(L96="",0,CEILING(L96/'02_Capacity'!$E$20,1))+IF(M96="",0,CEILING(M96/'02_Capacity'!$E$20,1))+IF(N96="",0,CEILING(N96/'02_Capacity'!$E$20,1))+IF(O96="",0,CEILING(O96/'02_Capacity'!$E$20,1)),""))</f>
      </c>
      <c r="Q96" s="41" t="s">
        <v>20</v>
      </c>
      <c r="R96" s="38" t="s">
        <v>20</v>
      </c>
      <c r="S96" s="38" t="s">
        <v>20</v>
      </c>
      <c r="T96" s="38" t="s">
        <v>20</v>
      </c>
      <c r="U96" s="31"/>
      <c r="V96" s="31"/>
      <c r="W96" s="31"/>
      <c r="X96" s="31"/>
      <c r="Y96" s="31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9"/>
    </row>
    <row r="97" spans="1:36" x14ac:dyDescent="0.25">
      <c r="A97" s="36" t="s">
        <v>20</v>
      </c>
      <c r="B97" s="36" t="s">
        <v>20</v>
      </c>
      <c r="C97" s="36" t="s">
        <v>20</v>
      </c>
      <c r="D97" s="36" t="s">
        <v>20</v>
      </c>
      <c r="E97" s="36" t="s">
        <v>20</v>
      </c>
      <c r="F97" s="37" t="s">
        <v>20</v>
      </c>
      <c r="G97" s="38" t="s">
        <v>20</v>
      </c>
      <c r="H97" s="38" t="s">
        <v>20</v>
      </c>
      <c r="I97" s="38" t="s">
        <v>20</v>
      </c>
      <c r="J97" s="38" t="s">
        <v>20</v>
      </c>
      <c r="K97" s="39" t="s">
        <v>20</v>
      </c>
      <c r="L97" s="39" t="s">
        <v>20</v>
      </c>
      <c r="M97" s="39" t="s">
        <v>20</v>
      </c>
      <c r="N97" s="39" t="s">
        <v>20</v>
      </c>
      <c r="O97" s="39" t="s">
        <v>20</v>
      </c>
      <c r="P97" s="40">
        <f>IF(COUNTA(G97:O97)=0,"",IFERROR(IF(K97="",0,CEILING(K97/'02_Capacity'!$E$25,1))+IF(L97="",0,CEILING(L97/'02_Capacity'!$E$20,1))+IF(M97="",0,CEILING(M97/'02_Capacity'!$E$20,1))+IF(N97="",0,CEILING(N97/'02_Capacity'!$E$20,1))+IF(O97="",0,CEILING(O97/'02_Capacity'!$E$20,1)),""))</f>
      </c>
      <c r="Q97" s="41" t="s">
        <v>20</v>
      </c>
      <c r="R97" s="38" t="s">
        <v>20</v>
      </c>
      <c r="S97" s="38" t="s">
        <v>20</v>
      </c>
      <c r="T97" s="38" t="s">
        <v>20</v>
      </c>
      <c r="U97" s="31"/>
      <c r="V97" s="31"/>
      <c r="W97" s="31"/>
      <c r="X97" s="31"/>
      <c r="Y97" s="31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9"/>
    </row>
    <row r="98" spans="1:36" x14ac:dyDescent="0.25">
      <c r="A98" s="36" t="s">
        <v>20</v>
      </c>
      <c r="B98" s="36" t="s">
        <v>20</v>
      </c>
      <c r="C98" s="36" t="s">
        <v>20</v>
      </c>
      <c r="D98" s="36" t="s">
        <v>20</v>
      </c>
      <c r="E98" s="36" t="s">
        <v>20</v>
      </c>
      <c r="F98" s="37" t="s">
        <v>20</v>
      </c>
      <c r="G98" s="38" t="s">
        <v>20</v>
      </c>
      <c r="H98" s="38" t="s">
        <v>20</v>
      </c>
      <c r="I98" s="38" t="s">
        <v>20</v>
      </c>
      <c r="J98" s="38" t="s">
        <v>20</v>
      </c>
      <c r="K98" s="39" t="s">
        <v>20</v>
      </c>
      <c r="L98" s="39" t="s">
        <v>20</v>
      </c>
      <c r="M98" s="39" t="s">
        <v>20</v>
      </c>
      <c r="N98" s="39" t="s">
        <v>20</v>
      </c>
      <c r="O98" s="39" t="s">
        <v>20</v>
      </c>
      <c r="P98" s="40">
        <f>IF(COUNTA(G98:O98)=0,"",IFERROR(IF(K98="",0,CEILING(K98/'02_Capacity'!$E$25,1))+IF(L98="",0,CEILING(L98/'02_Capacity'!$E$20,1))+IF(M98="",0,CEILING(M98/'02_Capacity'!$E$20,1))+IF(N98="",0,CEILING(N98/'02_Capacity'!$E$20,1))+IF(O98="",0,CEILING(O98/'02_Capacity'!$E$20,1)),""))</f>
      </c>
      <c r="Q98" s="41" t="s">
        <v>20</v>
      </c>
      <c r="R98" s="38" t="s">
        <v>20</v>
      </c>
      <c r="S98" s="38" t="s">
        <v>20</v>
      </c>
      <c r="T98" s="38" t="s">
        <v>20</v>
      </c>
      <c r="U98" s="31"/>
      <c r="V98" s="31"/>
      <c r="W98" s="31"/>
      <c r="X98" s="31"/>
      <c r="Y98" s="31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9"/>
    </row>
    <row r="99" spans="1:36" x14ac:dyDescent="0.25">
      <c r="A99" s="36" t="s">
        <v>20</v>
      </c>
      <c r="B99" s="36" t="s">
        <v>20</v>
      </c>
      <c r="C99" s="36" t="s">
        <v>20</v>
      </c>
      <c r="D99" s="36" t="s">
        <v>20</v>
      </c>
      <c r="E99" s="36" t="s">
        <v>20</v>
      </c>
      <c r="F99" s="37" t="s">
        <v>20</v>
      </c>
      <c r="G99" s="38" t="s">
        <v>20</v>
      </c>
      <c r="H99" s="38" t="s">
        <v>20</v>
      </c>
      <c r="I99" s="38" t="s">
        <v>20</v>
      </c>
      <c r="J99" s="38" t="s">
        <v>20</v>
      </c>
      <c r="K99" s="39" t="s">
        <v>20</v>
      </c>
      <c r="L99" s="39" t="s">
        <v>20</v>
      </c>
      <c r="M99" s="39" t="s">
        <v>20</v>
      </c>
      <c r="N99" s="39" t="s">
        <v>20</v>
      </c>
      <c r="O99" s="39" t="s">
        <v>20</v>
      </c>
      <c r="P99" s="40">
        <f>IF(COUNTA(G99:O99)=0,"",IFERROR(IF(K99="",0,CEILING(K99/'02_Capacity'!$E$25,1))+IF(L99="",0,CEILING(L99/'02_Capacity'!$E$20,1))+IF(M99="",0,CEILING(M99/'02_Capacity'!$E$20,1))+IF(N99="",0,CEILING(N99/'02_Capacity'!$E$20,1))+IF(O99="",0,CEILING(O99/'02_Capacity'!$E$20,1)),""))</f>
      </c>
      <c r="Q99" s="41" t="s">
        <v>20</v>
      </c>
      <c r="R99" s="38" t="s">
        <v>20</v>
      </c>
      <c r="S99" s="38" t="s">
        <v>20</v>
      </c>
      <c r="T99" s="38" t="s">
        <v>20</v>
      </c>
      <c r="U99" s="31"/>
      <c r="V99" s="31"/>
      <c r="W99" s="31"/>
      <c r="X99" s="31"/>
      <c r="Y99" s="31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9"/>
    </row>
    <row r="100" spans="1:36" x14ac:dyDescent="0.25">
      <c r="A100" s="36" t="s">
        <v>20</v>
      </c>
      <c r="B100" s="36" t="s">
        <v>20</v>
      </c>
      <c r="C100" s="36" t="s">
        <v>20</v>
      </c>
      <c r="D100" s="36" t="s">
        <v>20</v>
      </c>
      <c r="E100" s="36" t="s">
        <v>20</v>
      </c>
      <c r="F100" s="37" t="s">
        <v>20</v>
      </c>
      <c r="G100" s="38" t="s">
        <v>20</v>
      </c>
      <c r="H100" s="38" t="s">
        <v>20</v>
      </c>
      <c r="I100" s="38" t="s">
        <v>20</v>
      </c>
      <c r="J100" s="38" t="s">
        <v>20</v>
      </c>
      <c r="K100" s="39" t="s">
        <v>20</v>
      </c>
      <c r="L100" s="39" t="s">
        <v>20</v>
      </c>
      <c r="M100" s="39" t="s">
        <v>20</v>
      </c>
      <c r="N100" s="39" t="s">
        <v>20</v>
      </c>
      <c r="O100" s="39" t="s">
        <v>20</v>
      </c>
      <c r="P100" s="40">
        <f>IF(COUNTA(G100:O100)=0,"",IFERROR(IF(K100="",0,CEILING(K100/'02_Capacity'!$E$25,1))+IF(L100="",0,CEILING(L100/'02_Capacity'!$E$20,1))+IF(M100="",0,CEILING(M100/'02_Capacity'!$E$20,1))+IF(N100="",0,CEILING(N100/'02_Capacity'!$E$20,1))+IF(O100="",0,CEILING(O100/'02_Capacity'!$E$20,1)),""))</f>
      </c>
      <c r="Q100" s="41" t="s">
        <v>20</v>
      </c>
      <c r="R100" s="38" t="s">
        <v>20</v>
      </c>
      <c r="S100" s="38" t="s">
        <v>20</v>
      </c>
      <c r="T100" s="38" t="s">
        <v>20</v>
      </c>
      <c r="U100" s="31"/>
      <c r="V100" s="31"/>
      <c r="W100" s="31"/>
      <c r="X100" s="31"/>
      <c r="Y100" s="31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9"/>
    </row>
    <row r="101" spans="1:36" x14ac:dyDescent="0.25">
      <c r="A101" s="36" t="s">
        <v>20</v>
      </c>
      <c r="B101" s="36" t="s">
        <v>20</v>
      </c>
      <c r="C101" s="36" t="s">
        <v>20</v>
      </c>
      <c r="D101" s="36" t="s">
        <v>20</v>
      </c>
      <c r="E101" s="36" t="s">
        <v>20</v>
      </c>
      <c r="F101" s="37" t="s">
        <v>20</v>
      </c>
      <c r="G101" s="38" t="s">
        <v>20</v>
      </c>
      <c r="H101" s="38" t="s">
        <v>20</v>
      </c>
      <c r="I101" s="38" t="s">
        <v>20</v>
      </c>
      <c r="J101" s="38" t="s">
        <v>20</v>
      </c>
      <c r="K101" s="39" t="s">
        <v>20</v>
      </c>
      <c r="L101" s="39" t="s">
        <v>20</v>
      </c>
      <c r="M101" s="39" t="s">
        <v>20</v>
      </c>
      <c r="N101" s="39" t="s">
        <v>20</v>
      </c>
      <c r="O101" s="39" t="s">
        <v>20</v>
      </c>
      <c r="P101" s="40">
        <f>IF(COUNTA(G101:O101)=0,"",IFERROR(IF(K101="",0,CEILING(K101/'02_Capacity'!$E$25,1))+IF(L101="",0,CEILING(L101/'02_Capacity'!$E$20,1))+IF(M101="",0,CEILING(M101/'02_Capacity'!$E$20,1))+IF(N101="",0,CEILING(N101/'02_Capacity'!$E$20,1))+IF(O101="",0,CEILING(O101/'02_Capacity'!$E$20,1)),""))</f>
      </c>
      <c r="Q101" s="41" t="s">
        <v>20</v>
      </c>
      <c r="R101" s="38" t="s">
        <v>20</v>
      </c>
      <c r="S101" s="38" t="s">
        <v>20</v>
      </c>
      <c r="T101" s="38" t="s">
        <v>20</v>
      </c>
      <c r="U101" s="31"/>
      <c r="V101" s="31"/>
      <c r="W101" s="31"/>
      <c r="X101" s="31"/>
      <c r="Y101" s="31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9"/>
    </row>
    <row r="102" spans="1:36" x14ac:dyDescent="0.25">
      <c r="A102" s="36" t="s">
        <v>20</v>
      </c>
      <c r="B102" s="36" t="s">
        <v>20</v>
      </c>
      <c r="C102" s="36" t="s">
        <v>20</v>
      </c>
      <c r="D102" s="36" t="s">
        <v>20</v>
      </c>
      <c r="E102" s="36" t="s">
        <v>20</v>
      </c>
      <c r="F102" s="37" t="s">
        <v>20</v>
      </c>
      <c r="G102" s="38" t="s">
        <v>20</v>
      </c>
      <c r="H102" s="38" t="s">
        <v>20</v>
      </c>
      <c r="I102" s="38" t="s">
        <v>20</v>
      </c>
      <c r="J102" s="38" t="s">
        <v>20</v>
      </c>
      <c r="K102" s="39" t="s">
        <v>20</v>
      </c>
      <c r="L102" s="39" t="s">
        <v>20</v>
      </c>
      <c r="M102" s="39" t="s">
        <v>20</v>
      </c>
      <c r="N102" s="39" t="s">
        <v>20</v>
      </c>
      <c r="O102" s="39" t="s">
        <v>20</v>
      </c>
      <c r="P102" s="40">
        <f>IF(COUNTA(G102:O102)=0,"",IFERROR(IF(K102="",0,CEILING(K102/'02_Capacity'!$E$25,1))+IF(L102="",0,CEILING(L102/'02_Capacity'!$E$20,1))+IF(M102="",0,CEILING(M102/'02_Capacity'!$E$20,1))+IF(N102="",0,CEILING(N102/'02_Capacity'!$E$20,1))+IF(O102="",0,CEILING(O102/'02_Capacity'!$E$20,1)),""))</f>
      </c>
      <c r="Q102" s="41" t="s">
        <v>20</v>
      </c>
      <c r="R102" s="38" t="s">
        <v>20</v>
      </c>
      <c r="S102" s="38" t="s">
        <v>20</v>
      </c>
      <c r="T102" s="38" t="s">
        <v>20</v>
      </c>
      <c r="U102" s="31"/>
      <c r="V102" s="31"/>
      <c r="W102" s="31"/>
      <c r="X102" s="31"/>
      <c r="Y102" s="31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9"/>
    </row>
    <row r="103" spans="1:36" x14ac:dyDescent="0.25">
      <c r="A103" s="36" t="s">
        <v>20</v>
      </c>
      <c r="B103" s="36" t="s">
        <v>20</v>
      </c>
      <c r="C103" s="36" t="s">
        <v>20</v>
      </c>
      <c r="D103" s="36" t="s">
        <v>20</v>
      </c>
      <c r="E103" s="36" t="s">
        <v>20</v>
      </c>
      <c r="F103" s="37" t="s">
        <v>20</v>
      </c>
      <c r="G103" s="38" t="s">
        <v>20</v>
      </c>
      <c r="H103" s="38" t="s">
        <v>20</v>
      </c>
      <c r="I103" s="38" t="s">
        <v>20</v>
      </c>
      <c r="J103" s="38" t="s">
        <v>20</v>
      </c>
      <c r="K103" s="39" t="s">
        <v>20</v>
      </c>
      <c r="L103" s="39" t="s">
        <v>20</v>
      </c>
      <c r="M103" s="39" t="s">
        <v>20</v>
      </c>
      <c r="N103" s="39" t="s">
        <v>20</v>
      </c>
      <c r="O103" s="39" t="s">
        <v>20</v>
      </c>
      <c r="P103" s="40">
        <f>IF(COUNTA(G103:O103)=0,"",IFERROR(IF(K103="",0,CEILING(K103/'02_Capacity'!$E$25,1))+IF(L103="",0,CEILING(L103/'02_Capacity'!$E$20,1))+IF(M103="",0,CEILING(M103/'02_Capacity'!$E$20,1))+IF(N103="",0,CEILING(N103/'02_Capacity'!$E$20,1))+IF(O103="",0,CEILING(O103/'02_Capacity'!$E$20,1)),""))</f>
      </c>
      <c r="Q103" s="41" t="s">
        <v>20</v>
      </c>
      <c r="R103" s="38" t="s">
        <v>20</v>
      </c>
      <c r="S103" s="38" t="s">
        <v>20</v>
      </c>
      <c r="T103" s="38" t="s">
        <v>20</v>
      </c>
      <c r="U103" s="31"/>
      <c r="V103" s="31"/>
      <c r="W103" s="31"/>
      <c r="X103" s="31"/>
      <c r="Y103" s="31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9"/>
    </row>
    <row r="104" spans="1:36" x14ac:dyDescent="0.25">
      <c r="A104" s="36" t="s">
        <v>20</v>
      </c>
      <c r="B104" s="36" t="s">
        <v>20</v>
      </c>
      <c r="C104" s="36" t="s">
        <v>20</v>
      </c>
      <c r="D104" s="36" t="s">
        <v>20</v>
      </c>
      <c r="E104" s="36" t="s">
        <v>20</v>
      </c>
      <c r="F104" s="37" t="s">
        <v>20</v>
      </c>
      <c r="G104" s="38" t="s">
        <v>20</v>
      </c>
      <c r="H104" s="38" t="s">
        <v>20</v>
      </c>
      <c r="I104" s="38" t="s">
        <v>20</v>
      </c>
      <c r="J104" s="38" t="s">
        <v>20</v>
      </c>
      <c r="K104" s="39" t="s">
        <v>20</v>
      </c>
      <c r="L104" s="39" t="s">
        <v>20</v>
      </c>
      <c r="M104" s="39" t="s">
        <v>20</v>
      </c>
      <c r="N104" s="39" t="s">
        <v>20</v>
      </c>
      <c r="O104" s="39" t="s">
        <v>20</v>
      </c>
      <c r="P104" s="40">
        <f>IF(COUNTA(G104:O104)=0,"",IFERROR(IF(K104="",0,CEILING(K104/'02_Capacity'!$E$25,1))+IF(L104="",0,CEILING(L104/'02_Capacity'!$E$20,1))+IF(M104="",0,CEILING(M104/'02_Capacity'!$E$20,1))+IF(N104="",0,CEILING(N104/'02_Capacity'!$E$20,1))+IF(O104="",0,CEILING(O104/'02_Capacity'!$E$20,1)),""))</f>
      </c>
      <c r="Q104" s="41" t="s">
        <v>20</v>
      </c>
      <c r="R104" s="38" t="s">
        <v>20</v>
      </c>
      <c r="S104" s="38" t="s">
        <v>20</v>
      </c>
      <c r="T104" s="38" t="s">
        <v>20</v>
      </c>
      <c r="U104" s="31"/>
      <c r="V104" s="31"/>
      <c r="W104" s="31"/>
      <c r="X104" s="31"/>
      <c r="Y104" s="31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9"/>
    </row>
    <row r="105" spans="1:36" x14ac:dyDescent="0.25">
      <c r="A105" s="36" t="s">
        <v>20</v>
      </c>
      <c r="B105" s="36" t="s">
        <v>20</v>
      </c>
      <c r="C105" s="36" t="s">
        <v>20</v>
      </c>
      <c r="D105" s="36" t="s">
        <v>20</v>
      </c>
      <c r="E105" s="36" t="s">
        <v>20</v>
      </c>
      <c r="F105" s="37" t="s">
        <v>20</v>
      </c>
      <c r="G105" s="38" t="s">
        <v>20</v>
      </c>
      <c r="H105" s="38" t="s">
        <v>20</v>
      </c>
      <c r="I105" s="38" t="s">
        <v>20</v>
      </c>
      <c r="J105" s="38" t="s">
        <v>20</v>
      </c>
      <c r="K105" s="39" t="s">
        <v>20</v>
      </c>
      <c r="L105" s="39" t="s">
        <v>20</v>
      </c>
      <c r="M105" s="39" t="s">
        <v>20</v>
      </c>
      <c r="N105" s="39" t="s">
        <v>20</v>
      </c>
      <c r="O105" s="39" t="s">
        <v>20</v>
      </c>
      <c r="P105" s="40">
        <f>IF(COUNTA(G105:O105)=0,"",IFERROR(IF(K105="",0,CEILING(K105/'02_Capacity'!$E$25,1))+IF(L105="",0,CEILING(L105/'02_Capacity'!$E$20,1))+IF(M105="",0,CEILING(M105/'02_Capacity'!$E$20,1))+IF(N105="",0,CEILING(N105/'02_Capacity'!$E$20,1))+IF(O105="",0,CEILING(O105/'02_Capacity'!$E$20,1)),""))</f>
      </c>
      <c r="Q105" s="41" t="s">
        <v>20</v>
      </c>
      <c r="R105" s="38" t="s">
        <v>20</v>
      </c>
      <c r="S105" s="38" t="s">
        <v>20</v>
      </c>
      <c r="T105" s="38" t="s">
        <v>20</v>
      </c>
      <c r="U105" s="31"/>
      <c r="V105" s="31"/>
      <c r="W105" s="31"/>
      <c r="X105" s="31"/>
      <c r="Y105" s="31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9"/>
    </row>
    <row r="106" spans="1:36" x14ac:dyDescent="0.25">
      <c r="A106" s="36" t="s">
        <v>20</v>
      </c>
      <c r="B106" s="36" t="s">
        <v>20</v>
      </c>
      <c r="C106" s="36" t="s">
        <v>20</v>
      </c>
      <c r="D106" s="36" t="s">
        <v>20</v>
      </c>
      <c r="E106" s="36" t="s">
        <v>20</v>
      </c>
      <c r="F106" s="37" t="s">
        <v>20</v>
      </c>
      <c r="G106" s="38" t="s">
        <v>20</v>
      </c>
      <c r="H106" s="38" t="s">
        <v>20</v>
      </c>
      <c r="I106" s="38" t="s">
        <v>20</v>
      </c>
      <c r="J106" s="38" t="s">
        <v>20</v>
      </c>
      <c r="K106" s="39" t="s">
        <v>20</v>
      </c>
      <c r="L106" s="39" t="s">
        <v>20</v>
      </c>
      <c r="M106" s="39" t="s">
        <v>20</v>
      </c>
      <c r="N106" s="39" t="s">
        <v>20</v>
      </c>
      <c r="O106" s="39" t="s">
        <v>20</v>
      </c>
      <c r="P106" s="40">
        <f>IF(COUNTA(G106:O106)=0,"",IFERROR(IF(K106="",0,CEILING(K106/'02_Capacity'!$E$25,1))+IF(L106="",0,CEILING(L106/'02_Capacity'!$E$20,1))+IF(M106="",0,CEILING(M106/'02_Capacity'!$E$20,1))+IF(N106="",0,CEILING(N106/'02_Capacity'!$E$20,1))+IF(O106="",0,CEILING(O106/'02_Capacity'!$E$20,1)),""))</f>
      </c>
      <c r="Q106" s="41" t="s">
        <v>20</v>
      </c>
      <c r="R106" s="38" t="s">
        <v>20</v>
      </c>
      <c r="S106" s="38" t="s">
        <v>20</v>
      </c>
      <c r="T106" s="38" t="s">
        <v>20</v>
      </c>
      <c r="U106" s="31"/>
      <c r="V106" s="31"/>
      <c r="W106" s="31"/>
      <c r="X106" s="31"/>
      <c r="Y106" s="31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9"/>
    </row>
    <row r="107" spans="1:36" x14ac:dyDescent="0.25">
      <c r="A107" s="36" t="s">
        <v>20</v>
      </c>
      <c r="B107" s="36" t="s">
        <v>20</v>
      </c>
      <c r="C107" s="36" t="s">
        <v>20</v>
      </c>
      <c r="D107" s="36" t="s">
        <v>20</v>
      </c>
      <c r="E107" s="36" t="s">
        <v>20</v>
      </c>
      <c r="F107" s="37" t="s">
        <v>20</v>
      </c>
      <c r="G107" s="38" t="s">
        <v>20</v>
      </c>
      <c r="H107" s="38" t="s">
        <v>20</v>
      </c>
      <c r="I107" s="38" t="s">
        <v>20</v>
      </c>
      <c r="J107" s="38" t="s">
        <v>20</v>
      </c>
      <c r="K107" s="39" t="s">
        <v>20</v>
      </c>
      <c r="L107" s="39" t="s">
        <v>20</v>
      </c>
      <c r="M107" s="39" t="s">
        <v>20</v>
      </c>
      <c r="N107" s="39" t="s">
        <v>20</v>
      </c>
      <c r="O107" s="39" t="s">
        <v>20</v>
      </c>
      <c r="P107" s="40">
        <f>IF(COUNTA(G107:O107)=0,"",IFERROR(IF(K107="",0,CEILING(K107/'02_Capacity'!$E$25,1))+IF(L107="",0,CEILING(L107/'02_Capacity'!$E$20,1))+IF(M107="",0,CEILING(M107/'02_Capacity'!$E$20,1))+IF(N107="",0,CEILING(N107/'02_Capacity'!$E$20,1))+IF(O107="",0,CEILING(O107/'02_Capacity'!$E$20,1)),""))</f>
      </c>
      <c r="Q107" s="41" t="s">
        <v>20</v>
      </c>
      <c r="R107" s="38" t="s">
        <v>20</v>
      </c>
      <c r="S107" s="38" t="s">
        <v>20</v>
      </c>
      <c r="T107" s="38" t="s">
        <v>20</v>
      </c>
      <c r="U107" s="31"/>
      <c r="V107" s="31"/>
      <c r="W107" s="31"/>
      <c r="X107" s="31"/>
      <c r="Y107" s="31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9"/>
    </row>
    <row r="108" spans="1:36" x14ac:dyDescent="0.25">
      <c r="A108" s="36" t="s">
        <v>20</v>
      </c>
      <c r="B108" s="36" t="s">
        <v>20</v>
      </c>
      <c r="C108" s="36" t="s">
        <v>20</v>
      </c>
      <c r="D108" s="36" t="s">
        <v>20</v>
      </c>
      <c r="E108" s="36" t="s">
        <v>20</v>
      </c>
      <c r="F108" s="37" t="s">
        <v>20</v>
      </c>
      <c r="G108" s="38" t="s">
        <v>20</v>
      </c>
      <c r="H108" s="38" t="s">
        <v>20</v>
      </c>
      <c r="I108" s="38" t="s">
        <v>20</v>
      </c>
      <c r="J108" s="38" t="s">
        <v>20</v>
      </c>
      <c r="K108" s="39" t="s">
        <v>20</v>
      </c>
      <c r="L108" s="39" t="s">
        <v>20</v>
      </c>
      <c r="M108" s="39" t="s">
        <v>20</v>
      </c>
      <c r="N108" s="39" t="s">
        <v>20</v>
      </c>
      <c r="O108" s="39" t="s">
        <v>20</v>
      </c>
      <c r="P108" s="40">
        <f>IF(COUNTA(G108:O108)=0,"",IFERROR(IF(K108="",0,CEILING(K108/'02_Capacity'!$E$25,1))+IF(L108="",0,CEILING(L108/'02_Capacity'!$E$20,1))+IF(M108="",0,CEILING(M108/'02_Capacity'!$E$20,1))+IF(N108="",0,CEILING(N108/'02_Capacity'!$E$20,1))+IF(O108="",0,CEILING(O108/'02_Capacity'!$E$20,1)),""))</f>
      </c>
      <c r="Q108" s="41" t="s">
        <v>20</v>
      </c>
      <c r="R108" s="38" t="s">
        <v>20</v>
      </c>
      <c r="S108" s="38" t="s">
        <v>20</v>
      </c>
      <c r="T108" s="38" t="s">
        <v>20</v>
      </c>
      <c r="U108" s="31"/>
      <c r="V108" s="31"/>
      <c r="W108" s="31"/>
      <c r="X108" s="31"/>
      <c r="Y108" s="31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9"/>
    </row>
    <row r="109" spans="1:36" x14ac:dyDescent="0.25">
      <c r="A109" s="36" t="s">
        <v>20</v>
      </c>
      <c r="B109" s="36" t="s">
        <v>20</v>
      </c>
      <c r="C109" s="36" t="s">
        <v>20</v>
      </c>
      <c r="D109" s="36" t="s">
        <v>20</v>
      </c>
      <c r="E109" s="36" t="s">
        <v>20</v>
      </c>
      <c r="F109" s="37" t="s">
        <v>20</v>
      </c>
      <c r="G109" s="38" t="s">
        <v>20</v>
      </c>
      <c r="H109" s="38" t="s">
        <v>20</v>
      </c>
      <c r="I109" s="38" t="s">
        <v>20</v>
      </c>
      <c r="J109" s="38" t="s">
        <v>20</v>
      </c>
      <c r="K109" s="39" t="s">
        <v>20</v>
      </c>
      <c r="L109" s="39" t="s">
        <v>20</v>
      </c>
      <c r="M109" s="39" t="s">
        <v>20</v>
      </c>
      <c r="N109" s="39" t="s">
        <v>20</v>
      </c>
      <c r="O109" s="39" t="s">
        <v>20</v>
      </c>
      <c r="P109" s="40">
        <f>IF(COUNTA(G109:O109)=0,"",IFERROR(IF(K109="",0,CEILING(K109/'02_Capacity'!$E$25,1))+IF(L109="",0,CEILING(L109/'02_Capacity'!$E$20,1))+IF(M109="",0,CEILING(M109/'02_Capacity'!$E$20,1))+IF(N109="",0,CEILING(N109/'02_Capacity'!$E$20,1))+IF(O109="",0,CEILING(O109/'02_Capacity'!$E$20,1)),""))</f>
      </c>
      <c r="Q109" s="41" t="s">
        <v>20</v>
      </c>
      <c r="R109" s="38" t="s">
        <v>20</v>
      </c>
      <c r="S109" s="38" t="s">
        <v>20</v>
      </c>
      <c r="T109" s="38" t="s">
        <v>20</v>
      </c>
      <c r="U109" s="31"/>
      <c r="V109" s="31"/>
      <c r="W109" s="31"/>
      <c r="X109" s="31"/>
      <c r="Y109" s="31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9"/>
    </row>
    <row r="110" spans="1:36" x14ac:dyDescent="0.25">
      <c r="A110" s="36" t="s">
        <v>20</v>
      </c>
      <c r="B110" s="36" t="s">
        <v>20</v>
      </c>
      <c r="C110" s="36" t="s">
        <v>20</v>
      </c>
      <c r="D110" s="36" t="s">
        <v>20</v>
      </c>
      <c r="E110" s="36" t="s">
        <v>20</v>
      </c>
      <c r="F110" s="37" t="s">
        <v>20</v>
      </c>
      <c r="G110" s="38" t="s">
        <v>20</v>
      </c>
      <c r="H110" s="38" t="s">
        <v>20</v>
      </c>
      <c r="I110" s="38" t="s">
        <v>20</v>
      </c>
      <c r="J110" s="38" t="s">
        <v>20</v>
      </c>
      <c r="K110" s="39" t="s">
        <v>20</v>
      </c>
      <c r="L110" s="39" t="s">
        <v>20</v>
      </c>
      <c r="M110" s="39" t="s">
        <v>20</v>
      </c>
      <c r="N110" s="39" t="s">
        <v>20</v>
      </c>
      <c r="O110" s="39" t="s">
        <v>20</v>
      </c>
      <c r="P110" s="40">
        <f>IF(COUNTA(G110:O110)=0,"",IFERROR(IF(K110="",0,CEILING(K110/'02_Capacity'!$E$25,1))+IF(L110="",0,CEILING(L110/'02_Capacity'!$E$20,1))+IF(M110="",0,CEILING(M110/'02_Capacity'!$E$20,1))+IF(N110="",0,CEILING(N110/'02_Capacity'!$E$20,1))+IF(O110="",0,CEILING(O110/'02_Capacity'!$E$20,1)),""))</f>
      </c>
      <c r="Q110" s="41" t="s">
        <v>20</v>
      </c>
      <c r="R110" s="38" t="s">
        <v>20</v>
      </c>
      <c r="S110" s="38" t="s">
        <v>20</v>
      </c>
      <c r="T110" s="38" t="s">
        <v>20</v>
      </c>
      <c r="U110" s="31"/>
      <c r="V110" s="31"/>
      <c r="W110" s="31"/>
      <c r="X110" s="31"/>
      <c r="Y110" s="31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9"/>
    </row>
    <row r="111" spans="1:36" x14ac:dyDescent="0.25">
      <c r="A111" s="36" t="s">
        <v>20</v>
      </c>
      <c r="B111" s="36" t="s">
        <v>20</v>
      </c>
      <c r="C111" s="36" t="s">
        <v>20</v>
      </c>
      <c r="D111" s="36" t="s">
        <v>20</v>
      </c>
      <c r="E111" s="36" t="s">
        <v>20</v>
      </c>
      <c r="F111" s="37" t="s">
        <v>20</v>
      </c>
      <c r="G111" s="38" t="s">
        <v>20</v>
      </c>
      <c r="H111" s="38" t="s">
        <v>20</v>
      </c>
      <c r="I111" s="38" t="s">
        <v>20</v>
      </c>
      <c r="J111" s="38" t="s">
        <v>20</v>
      </c>
      <c r="K111" s="39" t="s">
        <v>20</v>
      </c>
      <c r="L111" s="39" t="s">
        <v>20</v>
      </c>
      <c r="M111" s="39" t="s">
        <v>20</v>
      </c>
      <c r="N111" s="39" t="s">
        <v>20</v>
      </c>
      <c r="O111" s="39" t="s">
        <v>20</v>
      </c>
      <c r="P111" s="40">
        <f>IF(COUNTA(G111:O111)=0,"",IFERROR(IF(K111="",0,CEILING(K111/'02_Capacity'!$E$25,1))+IF(L111="",0,CEILING(L111/'02_Capacity'!$E$20,1))+IF(M111="",0,CEILING(M111/'02_Capacity'!$E$20,1))+IF(N111="",0,CEILING(N111/'02_Capacity'!$E$20,1))+IF(O111="",0,CEILING(O111/'02_Capacity'!$E$20,1)),""))</f>
      </c>
      <c r="Q111" s="41" t="s">
        <v>20</v>
      </c>
      <c r="R111" s="38" t="s">
        <v>20</v>
      </c>
      <c r="S111" s="38" t="s">
        <v>20</v>
      </c>
      <c r="T111" s="38" t="s">
        <v>20</v>
      </c>
      <c r="U111" s="31"/>
      <c r="V111" s="31"/>
      <c r="W111" s="31"/>
      <c r="X111" s="31"/>
      <c r="Y111" s="31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9"/>
    </row>
    <row r="112" spans="1:36" x14ac:dyDescent="0.25">
      <c r="A112" s="36" t="s">
        <v>20</v>
      </c>
      <c r="B112" s="36" t="s">
        <v>20</v>
      </c>
      <c r="C112" s="36" t="s">
        <v>20</v>
      </c>
      <c r="D112" s="36" t="s">
        <v>20</v>
      </c>
      <c r="E112" s="36" t="s">
        <v>20</v>
      </c>
      <c r="F112" s="37" t="s">
        <v>20</v>
      </c>
      <c r="G112" s="38" t="s">
        <v>20</v>
      </c>
      <c r="H112" s="38" t="s">
        <v>20</v>
      </c>
      <c r="I112" s="38" t="s">
        <v>20</v>
      </c>
      <c r="J112" s="38" t="s">
        <v>20</v>
      </c>
      <c r="K112" s="39" t="s">
        <v>20</v>
      </c>
      <c r="L112" s="39" t="s">
        <v>20</v>
      </c>
      <c r="M112" s="39" t="s">
        <v>20</v>
      </c>
      <c r="N112" s="39" t="s">
        <v>20</v>
      </c>
      <c r="O112" s="39" t="s">
        <v>20</v>
      </c>
      <c r="P112" s="40">
        <f>IF(COUNTA(G112:O112)=0,"",IFERROR(IF(K112="",0,CEILING(K112/'02_Capacity'!$E$25,1))+IF(L112="",0,CEILING(L112/'02_Capacity'!$E$20,1))+IF(M112="",0,CEILING(M112/'02_Capacity'!$E$20,1))+IF(N112="",0,CEILING(N112/'02_Capacity'!$E$20,1))+IF(O112="",0,CEILING(O112/'02_Capacity'!$E$20,1)),""))</f>
      </c>
      <c r="Q112" s="41" t="s">
        <v>20</v>
      </c>
      <c r="R112" s="38" t="s">
        <v>20</v>
      </c>
      <c r="S112" s="38" t="s">
        <v>20</v>
      </c>
      <c r="T112" s="38" t="s">
        <v>20</v>
      </c>
      <c r="U112" s="31"/>
      <c r="V112" s="31"/>
      <c r="W112" s="31"/>
      <c r="X112" s="31"/>
      <c r="Y112" s="31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9"/>
    </row>
    <row r="113" spans="1:36" x14ac:dyDescent="0.25">
      <c r="A113" s="36" t="s">
        <v>20</v>
      </c>
      <c r="B113" s="36" t="s">
        <v>20</v>
      </c>
      <c r="C113" s="36" t="s">
        <v>20</v>
      </c>
      <c r="D113" s="36" t="s">
        <v>20</v>
      </c>
      <c r="E113" s="36" t="s">
        <v>20</v>
      </c>
      <c r="F113" s="37" t="s">
        <v>20</v>
      </c>
      <c r="G113" s="38" t="s">
        <v>20</v>
      </c>
      <c r="H113" s="38" t="s">
        <v>20</v>
      </c>
      <c r="I113" s="38" t="s">
        <v>20</v>
      </c>
      <c r="J113" s="38" t="s">
        <v>20</v>
      </c>
      <c r="K113" s="39" t="s">
        <v>20</v>
      </c>
      <c r="L113" s="39" t="s">
        <v>20</v>
      </c>
      <c r="M113" s="39" t="s">
        <v>20</v>
      </c>
      <c r="N113" s="39" t="s">
        <v>20</v>
      </c>
      <c r="O113" s="39" t="s">
        <v>20</v>
      </c>
      <c r="P113" s="40">
        <f>IF(COUNTA(G113:O113)=0,"",IFERROR(IF(K113="",0,CEILING(K113/'02_Capacity'!$E$25,1))+IF(L113="",0,CEILING(L113/'02_Capacity'!$E$20,1))+IF(M113="",0,CEILING(M113/'02_Capacity'!$E$20,1))+IF(N113="",0,CEILING(N113/'02_Capacity'!$E$20,1))+IF(O113="",0,CEILING(O113/'02_Capacity'!$E$20,1)),""))</f>
      </c>
      <c r="Q113" s="41" t="s">
        <v>20</v>
      </c>
      <c r="R113" s="38" t="s">
        <v>20</v>
      </c>
      <c r="S113" s="38" t="s">
        <v>20</v>
      </c>
      <c r="T113" s="38" t="s">
        <v>20</v>
      </c>
      <c r="U113" s="31"/>
      <c r="V113" s="31"/>
      <c r="W113" s="31"/>
      <c r="X113" s="31"/>
      <c r="Y113" s="31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9"/>
    </row>
    <row r="114" spans="1:36" x14ac:dyDescent="0.25">
      <c r="A114" s="36" t="s">
        <v>20</v>
      </c>
      <c r="B114" s="36" t="s">
        <v>20</v>
      </c>
      <c r="C114" s="36" t="s">
        <v>20</v>
      </c>
      <c r="D114" s="36" t="s">
        <v>20</v>
      </c>
      <c r="E114" s="36" t="s">
        <v>20</v>
      </c>
      <c r="F114" s="37" t="s">
        <v>20</v>
      </c>
      <c r="G114" s="38" t="s">
        <v>20</v>
      </c>
      <c r="H114" s="38" t="s">
        <v>20</v>
      </c>
      <c r="I114" s="38" t="s">
        <v>20</v>
      </c>
      <c r="J114" s="38" t="s">
        <v>20</v>
      </c>
      <c r="K114" s="39" t="s">
        <v>20</v>
      </c>
      <c r="L114" s="39" t="s">
        <v>20</v>
      </c>
      <c r="M114" s="39" t="s">
        <v>20</v>
      </c>
      <c r="N114" s="39" t="s">
        <v>20</v>
      </c>
      <c r="O114" s="39" t="s">
        <v>20</v>
      </c>
      <c r="P114" s="40">
        <f>IF(COUNTA(G114:O114)=0,"",IFERROR(IF(K114="",0,CEILING(K114/'02_Capacity'!$E$25,1))+IF(L114="",0,CEILING(L114/'02_Capacity'!$E$20,1))+IF(M114="",0,CEILING(M114/'02_Capacity'!$E$20,1))+IF(N114="",0,CEILING(N114/'02_Capacity'!$E$20,1))+IF(O114="",0,CEILING(O114/'02_Capacity'!$E$20,1)),""))</f>
      </c>
      <c r="Q114" s="41" t="s">
        <v>20</v>
      </c>
      <c r="R114" s="38" t="s">
        <v>20</v>
      </c>
      <c r="S114" s="38" t="s">
        <v>20</v>
      </c>
      <c r="T114" s="38" t="s">
        <v>20</v>
      </c>
      <c r="U114" s="31"/>
      <c r="V114" s="31"/>
      <c r="W114" s="31"/>
      <c r="X114" s="31"/>
      <c r="Y114" s="31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9"/>
    </row>
    <row r="115" spans="1:36" x14ac:dyDescent="0.25">
      <c r="A115" s="36" t="s">
        <v>20</v>
      </c>
      <c r="B115" s="36" t="s">
        <v>20</v>
      </c>
      <c r="C115" s="36" t="s">
        <v>20</v>
      </c>
      <c r="D115" s="36" t="s">
        <v>20</v>
      </c>
      <c r="E115" s="36" t="s">
        <v>20</v>
      </c>
      <c r="F115" s="37" t="s">
        <v>20</v>
      </c>
      <c r="G115" s="38" t="s">
        <v>20</v>
      </c>
      <c r="H115" s="38" t="s">
        <v>20</v>
      </c>
      <c r="I115" s="38" t="s">
        <v>20</v>
      </c>
      <c r="J115" s="38" t="s">
        <v>20</v>
      </c>
      <c r="K115" s="39" t="s">
        <v>20</v>
      </c>
      <c r="L115" s="39" t="s">
        <v>20</v>
      </c>
      <c r="M115" s="39" t="s">
        <v>20</v>
      </c>
      <c r="N115" s="39" t="s">
        <v>20</v>
      </c>
      <c r="O115" s="39" t="s">
        <v>20</v>
      </c>
      <c r="P115" s="40">
        <f>IF(COUNTA(G115:O115)=0,"",IFERROR(IF(K115="",0,CEILING(K115/'02_Capacity'!$E$25,1))+IF(L115="",0,CEILING(L115/'02_Capacity'!$E$20,1))+IF(M115="",0,CEILING(M115/'02_Capacity'!$E$20,1))+IF(N115="",0,CEILING(N115/'02_Capacity'!$E$20,1))+IF(O115="",0,CEILING(O115/'02_Capacity'!$E$20,1)),""))</f>
      </c>
      <c r="Q115" s="41" t="s">
        <v>20</v>
      </c>
      <c r="R115" s="38" t="s">
        <v>20</v>
      </c>
      <c r="S115" s="38" t="s">
        <v>20</v>
      </c>
      <c r="T115" s="38" t="s">
        <v>20</v>
      </c>
      <c r="U115" s="31"/>
      <c r="V115" s="31"/>
      <c r="W115" s="31"/>
      <c r="X115" s="31"/>
      <c r="Y115" s="31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9"/>
    </row>
    <row r="116" spans="1:36" x14ac:dyDescent="0.25">
      <c r="A116" s="36" t="s">
        <v>20</v>
      </c>
      <c r="B116" s="36" t="s">
        <v>20</v>
      </c>
      <c r="C116" s="36" t="s">
        <v>20</v>
      </c>
      <c r="D116" s="36" t="s">
        <v>20</v>
      </c>
      <c r="E116" s="36" t="s">
        <v>20</v>
      </c>
      <c r="F116" s="37" t="s">
        <v>20</v>
      </c>
      <c r="G116" s="38" t="s">
        <v>20</v>
      </c>
      <c r="H116" s="38" t="s">
        <v>20</v>
      </c>
      <c r="I116" s="38" t="s">
        <v>20</v>
      </c>
      <c r="J116" s="38" t="s">
        <v>20</v>
      </c>
      <c r="K116" s="39" t="s">
        <v>20</v>
      </c>
      <c r="L116" s="39" t="s">
        <v>20</v>
      </c>
      <c r="M116" s="39" t="s">
        <v>20</v>
      </c>
      <c r="N116" s="39" t="s">
        <v>20</v>
      </c>
      <c r="O116" s="39" t="s">
        <v>20</v>
      </c>
      <c r="P116" s="40">
        <f>IF(COUNTA(G116:O116)=0,"",IFERROR(IF(K116="",0,CEILING(K116/'02_Capacity'!$E$25,1))+IF(L116="",0,CEILING(L116/'02_Capacity'!$E$20,1))+IF(M116="",0,CEILING(M116/'02_Capacity'!$E$20,1))+IF(N116="",0,CEILING(N116/'02_Capacity'!$E$20,1))+IF(O116="",0,CEILING(O116/'02_Capacity'!$E$20,1)),""))</f>
      </c>
      <c r="Q116" s="41" t="s">
        <v>20</v>
      </c>
      <c r="R116" s="38" t="s">
        <v>20</v>
      </c>
      <c r="S116" s="38" t="s">
        <v>20</v>
      </c>
      <c r="T116" s="38" t="s">
        <v>20</v>
      </c>
      <c r="U116" s="31"/>
      <c r="V116" s="31"/>
      <c r="W116" s="31"/>
      <c r="X116" s="31"/>
      <c r="Y116" s="31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9"/>
    </row>
    <row r="117" spans="1:36" x14ac:dyDescent="0.25">
      <c r="A117" s="36" t="s">
        <v>20</v>
      </c>
      <c r="B117" s="36" t="s">
        <v>20</v>
      </c>
      <c r="C117" s="36" t="s">
        <v>20</v>
      </c>
      <c r="D117" s="36" t="s">
        <v>20</v>
      </c>
      <c r="E117" s="36" t="s">
        <v>20</v>
      </c>
      <c r="F117" s="37" t="s">
        <v>20</v>
      </c>
      <c r="G117" s="38" t="s">
        <v>20</v>
      </c>
      <c r="H117" s="38" t="s">
        <v>20</v>
      </c>
      <c r="I117" s="38" t="s">
        <v>20</v>
      </c>
      <c r="J117" s="38" t="s">
        <v>20</v>
      </c>
      <c r="K117" s="39" t="s">
        <v>20</v>
      </c>
      <c r="L117" s="39" t="s">
        <v>20</v>
      </c>
      <c r="M117" s="39" t="s">
        <v>20</v>
      </c>
      <c r="N117" s="39" t="s">
        <v>20</v>
      </c>
      <c r="O117" s="39" t="s">
        <v>20</v>
      </c>
      <c r="P117" s="40">
        <f>IF(COUNTA(G117:O117)=0,"",IFERROR(IF(K117="",0,CEILING(K117/'02_Capacity'!$E$25,1))+IF(L117="",0,CEILING(L117/'02_Capacity'!$E$20,1))+IF(M117="",0,CEILING(M117/'02_Capacity'!$E$20,1))+IF(N117="",0,CEILING(N117/'02_Capacity'!$E$20,1))+IF(O117="",0,CEILING(O117/'02_Capacity'!$E$20,1)),""))</f>
      </c>
      <c r="Q117" s="41" t="s">
        <v>20</v>
      </c>
      <c r="R117" s="38" t="s">
        <v>20</v>
      </c>
      <c r="S117" s="38" t="s">
        <v>20</v>
      </c>
      <c r="T117" s="38" t="s">
        <v>20</v>
      </c>
      <c r="U117" s="31"/>
      <c r="V117" s="31"/>
      <c r="W117" s="31"/>
      <c r="X117" s="31"/>
      <c r="Y117" s="31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9"/>
    </row>
    <row r="118" spans="1:36" x14ac:dyDescent="0.25">
      <c r="A118" s="36" t="s">
        <v>20</v>
      </c>
      <c r="B118" s="36" t="s">
        <v>20</v>
      </c>
      <c r="C118" s="36" t="s">
        <v>20</v>
      </c>
      <c r="D118" s="36" t="s">
        <v>20</v>
      </c>
      <c r="E118" s="36" t="s">
        <v>20</v>
      </c>
      <c r="F118" s="37" t="s">
        <v>20</v>
      </c>
      <c r="G118" s="38" t="s">
        <v>20</v>
      </c>
      <c r="H118" s="38" t="s">
        <v>20</v>
      </c>
      <c r="I118" s="38" t="s">
        <v>20</v>
      </c>
      <c r="J118" s="38" t="s">
        <v>20</v>
      </c>
      <c r="K118" s="39" t="s">
        <v>20</v>
      </c>
      <c r="L118" s="39" t="s">
        <v>20</v>
      </c>
      <c r="M118" s="39" t="s">
        <v>20</v>
      </c>
      <c r="N118" s="39" t="s">
        <v>20</v>
      </c>
      <c r="O118" s="39" t="s">
        <v>20</v>
      </c>
      <c r="P118" s="40">
        <f>IF(COUNTA(G118:O118)=0,"",IFERROR(IF(K118="",0,CEILING(K118/'02_Capacity'!$E$25,1))+IF(L118="",0,CEILING(L118/'02_Capacity'!$E$20,1))+IF(M118="",0,CEILING(M118/'02_Capacity'!$E$20,1))+IF(N118="",0,CEILING(N118/'02_Capacity'!$E$20,1))+IF(O118="",0,CEILING(O118/'02_Capacity'!$E$20,1)),""))</f>
      </c>
      <c r="Q118" s="41" t="s">
        <v>20</v>
      </c>
      <c r="R118" s="38" t="s">
        <v>20</v>
      </c>
      <c r="S118" s="38" t="s">
        <v>20</v>
      </c>
      <c r="T118" s="38" t="s">
        <v>20</v>
      </c>
      <c r="U118" s="31"/>
      <c r="V118" s="31"/>
      <c r="W118" s="31"/>
      <c r="X118" s="31"/>
      <c r="Y118" s="31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9"/>
    </row>
    <row r="119" spans="1:36" x14ac:dyDescent="0.25">
      <c r="A119" s="36" t="s">
        <v>20</v>
      </c>
      <c r="B119" s="36" t="s">
        <v>20</v>
      </c>
      <c r="C119" s="36" t="s">
        <v>20</v>
      </c>
      <c r="D119" s="36" t="s">
        <v>20</v>
      </c>
      <c r="E119" s="36" t="s">
        <v>20</v>
      </c>
      <c r="F119" s="37" t="s">
        <v>20</v>
      </c>
      <c r="G119" s="38" t="s">
        <v>20</v>
      </c>
      <c r="H119" s="38" t="s">
        <v>20</v>
      </c>
      <c r="I119" s="38" t="s">
        <v>20</v>
      </c>
      <c r="J119" s="38" t="s">
        <v>20</v>
      </c>
      <c r="K119" s="39" t="s">
        <v>20</v>
      </c>
      <c r="L119" s="39" t="s">
        <v>20</v>
      </c>
      <c r="M119" s="39" t="s">
        <v>20</v>
      </c>
      <c r="N119" s="39" t="s">
        <v>20</v>
      </c>
      <c r="O119" s="39" t="s">
        <v>20</v>
      </c>
      <c r="P119" s="40">
        <f>IF(COUNTA(G119:O119)=0,"",IFERROR(IF(K119="",0,CEILING(K119/'02_Capacity'!$E$25,1))+IF(L119="",0,CEILING(L119/'02_Capacity'!$E$20,1))+IF(M119="",0,CEILING(M119/'02_Capacity'!$E$20,1))+IF(N119="",0,CEILING(N119/'02_Capacity'!$E$20,1))+IF(O119="",0,CEILING(O119/'02_Capacity'!$E$20,1)),""))</f>
      </c>
      <c r="Q119" s="41" t="s">
        <v>20</v>
      </c>
      <c r="R119" s="38" t="s">
        <v>20</v>
      </c>
      <c r="S119" s="38" t="s">
        <v>20</v>
      </c>
      <c r="T119" s="38" t="s">
        <v>20</v>
      </c>
      <c r="U119" s="31"/>
      <c r="V119" s="31"/>
      <c r="W119" s="31"/>
      <c r="X119" s="31"/>
      <c r="Y119" s="31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9"/>
    </row>
    <row r="120" spans="1:36" x14ac:dyDescent="0.25">
      <c r="A120" s="36" t="s">
        <v>20</v>
      </c>
      <c r="B120" s="36" t="s">
        <v>20</v>
      </c>
      <c r="C120" s="36" t="s">
        <v>20</v>
      </c>
      <c r="D120" s="36" t="s">
        <v>20</v>
      </c>
      <c r="E120" s="36" t="s">
        <v>20</v>
      </c>
      <c r="F120" s="37" t="s">
        <v>20</v>
      </c>
      <c r="G120" s="38" t="s">
        <v>20</v>
      </c>
      <c r="H120" s="38" t="s">
        <v>20</v>
      </c>
      <c r="I120" s="38" t="s">
        <v>20</v>
      </c>
      <c r="J120" s="38" t="s">
        <v>20</v>
      </c>
      <c r="K120" s="39" t="s">
        <v>20</v>
      </c>
      <c r="L120" s="39" t="s">
        <v>20</v>
      </c>
      <c r="M120" s="39" t="s">
        <v>20</v>
      </c>
      <c r="N120" s="39" t="s">
        <v>20</v>
      </c>
      <c r="O120" s="39" t="s">
        <v>20</v>
      </c>
      <c r="P120" s="40">
        <f>IF(COUNTA(G120:O120)=0,"",IFERROR(IF(K120="",0,CEILING(K120/'02_Capacity'!$E$25,1))+IF(L120="",0,CEILING(L120/'02_Capacity'!$E$20,1))+IF(M120="",0,CEILING(M120/'02_Capacity'!$E$20,1))+IF(N120="",0,CEILING(N120/'02_Capacity'!$E$20,1))+IF(O120="",0,CEILING(O120/'02_Capacity'!$E$20,1)),""))</f>
      </c>
      <c r="Q120" s="41" t="s">
        <v>20</v>
      </c>
      <c r="R120" s="38" t="s">
        <v>20</v>
      </c>
      <c r="S120" s="38" t="s">
        <v>20</v>
      </c>
      <c r="T120" s="38" t="s">
        <v>20</v>
      </c>
      <c r="U120" s="31"/>
      <c r="V120" s="31"/>
      <c r="W120" s="31"/>
      <c r="X120" s="31"/>
      <c r="Y120" s="31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9"/>
    </row>
    <row r="121" spans="1:36" x14ac:dyDescent="0.25">
      <c r="A121" s="36" t="s">
        <v>20</v>
      </c>
      <c r="B121" s="36" t="s">
        <v>20</v>
      </c>
      <c r="C121" s="36" t="s">
        <v>20</v>
      </c>
      <c r="D121" s="36" t="s">
        <v>20</v>
      </c>
      <c r="E121" s="36" t="s">
        <v>20</v>
      </c>
      <c r="F121" s="37" t="s">
        <v>20</v>
      </c>
      <c r="G121" s="38" t="s">
        <v>20</v>
      </c>
      <c r="H121" s="38" t="s">
        <v>20</v>
      </c>
      <c r="I121" s="38" t="s">
        <v>20</v>
      </c>
      <c r="J121" s="38" t="s">
        <v>20</v>
      </c>
      <c r="K121" s="39" t="s">
        <v>20</v>
      </c>
      <c r="L121" s="39" t="s">
        <v>20</v>
      </c>
      <c r="M121" s="39" t="s">
        <v>20</v>
      </c>
      <c r="N121" s="39" t="s">
        <v>20</v>
      </c>
      <c r="O121" s="39" t="s">
        <v>20</v>
      </c>
      <c r="P121" s="40">
        <f>IF(COUNTA(G121:O121)=0,"",IFERROR(IF(K121="",0,CEILING(K121/'02_Capacity'!$E$25,1))+IF(L121="",0,CEILING(L121/'02_Capacity'!$E$20,1))+IF(M121="",0,CEILING(M121/'02_Capacity'!$E$20,1))+IF(N121="",0,CEILING(N121/'02_Capacity'!$E$20,1))+IF(O121="",0,CEILING(O121/'02_Capacity'!$E$20,1)),""))</f>
      </c>
      <c r="Q121" s="41" t="s">
        <v>20</v>
      </c>
      <c r="R121" s="38" t="s">
        <v>20</v>
      </c>
      <c r="S121" s="38" t="s">
        <v>20</v>
      </c>
      <c r="T121" s="38" t="s">
        <v>20</v>
      </c>
      <c r="U121" s="31"/>
      <c r="V121" s="31"/>
      <c r="W121" s="31"/>
      <c r="X121" s="31"/>
      <c r="Y121" s="31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9"/>
    </row>
    <row r="122" spans="1:36" x14ac:dyDescent="0.25">
      <c r="A122" s="36" t="s">
        <v>20</v>
      </c>
      <c r="B122" s="36" t="s">
        <v>20</v>
      </c>
      <c r="C122" s="36" t="s">
        <v>20</v>
      </c>
      <c r="D122" s="36" t="s">
        <v>20</v>
      </c>
      <c r="E122" s="36" t="s">
        <v>20</v>
      </c>
      <c r="F122" s="37" t="s">
        <v>20</v>
      </c>
      <c r="G122" s="38" t="s">
        <v>20</v>
      </c>
      <c r="H122" s="38" t="s">
        <v>20</v>
      </c>
      <c r="I122" s="38" t="s">
        <v>20</v>
      </c>
      <c r="J122" s="38" t="s">
        <v>20</v>
      </c>
      <c r="K122" s="39" t="s">
        <v>20</v>
      </c>
      <c r="L122" s="39" t="s">
        <v>20</v>
      </c>
      <c r="M122" s="39" t="s">
        <v>20</v>
      </c>
      <c r="N122" s="39" t="s">
        <v>20</v>
      </c>
      <c r="O122" s="39" t="s">
        <v>20</v>
      </c>
      <c r="P122" s="40">
        <f>IF(COUNTA(G122:O122)=0,"",IFERROR(IF(K122="",0,CEILING(K122/'02_Capacity'!$E$25,1))+IF(L122="",0,CEILING(L122/'02_Capacity'!$E$20,1))+IF(M122="",0,CEILING(M122/'02_Capacity'!$E$20,1))+IF(N122="",0,CEILING(N122/'02_Capacity'!$E$20,1))+IF(O122="",0,CEILING(O122/'02_Capacity'!$E$20,1)),""))</f>
      </c>
      <c r="Q122" s="41" t="s">
        <v>20</v>
      </c>
      <c r="R122" s="38" t="s">
        <v>20</v>
      </c>
      <c r="S122" s="38" t="s">
        <v>20</v>
      </c>
      <c r="T122" s="38" t="s">
        <v>20</v>
      </c>
      <c r="U122" s="31"/>
      <c r="V122" s="31"/>
      <c r="W122" s="31"/>
      <c r="X122" s="31"/>
      <c r="Y122" s="31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9"/>
    </row>
    <row r="123" spans="1:36" x14ac:dyDescent="0.25">
      <c r="A123" s="36" t="s">
        <v>20</v>
      </c>
      <c r="B123" s="36" t="s">
        <v>20</v>
      </c>
      <c r="C123" s="36" t="s">
        <v>20</v>
      </c>
      <c r="D123" s="36" t="s">
        <v>20</v>
      </c>
      <c r="E123" s="36" t="s">
        <v>20</v>
      </c>
      <c r="F123" s="37" t="s">
        <v>20</v>
      </c>
      <c r="G123" s="38" t="s">
        <v>20</v>
      </c>
      <c r="H123" s="38" t="s">
        <v>20</v>
      </c>
      <c r="I123" s="38" t="s">
        <v>20</v>
      </c>
      <c r="J123" s="38" t="s">
        <v>20</v>
      </c>
      <c r="K123" s="39" t="s">
        <v>20</v>
      </c>
      <c r="L123" s="39" t="s">
        <v>20</v>
      </c>
      <c r="M123" s="39" t="s">
        <v>20</v>
      </c>
      <c r="N123" s="39" t="s">
        <v>20</v>
      </c>
      <c r="O123" s="39" t="s">
        <v>20</v>
      </c>
      <c r="P123" s="40">
        <f>IF(COUNTA(G123:O123)=0,"",IFERROR(IF(K123="",0,CEILING(K123/'02_Capacity'!$E$25,1))+IF(L123="",0,CEILING(L123/'02_Capacity'!$E$20,1))+IF(M123="",0,CEILING(M123/'02_Capacity'!$E$20,1))+IF(N123="",0,CEILING(N123/'02_Capacity'!$E$20,1))+IF(O123="",0,CEILING(O123/'02_Capacity'!$E$20,1)),""))</f>
      </c>
      <c r="Q123" s="41" t="s">
        <v>20</v>
      </c>
      <c r="R123" s="38" t="s">
        <v>20</v>
      </c>
      <c r="S123" s="38" t="s">
        <v>20</v>
      </c>
      <c r="T123" s="38" t="s">
        <v>20</v>
      </c>
      <c r="U123" s="31"/>
      <c r="V123" s="31"/>
      <c r="W123" s="31"/>
      <c r="X123" s="31"/>
      <c r="Y123" s="31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9"/>
    </row>
    <row r="124" spans="1:36" x14ac:dyDescent="0.25">
      <c r="A124" s="36" t="s">
        <v>20</v>
      </c>
      <c r="B124" s="36" t="s">
        <v>20</v>
      </c>
      <c r="C124" s="36" t="s">
        <v>20</v>
      </c>
      <c r="D124" s="36" t="s">
        <v>20</v>
      </c>
      <c r="E124" s="36" t="s">
        <v>20</v>
      </c>
      <c r="F124" s="37" t="s">
        <v>20</v>
      </c>
      <c r="G124" s="38" t="s">
        <v>20</v>
      </c>
      <c r="H124" s="38" t="s">
        <v>20</v>
      </c>
      <c r="I124" s="38" t="s">
        <v>20</v>
      </c>
      <c r="J124" s="38" t="s">
        <v>20</v>
      </c>
      <c r="K124" s="39" t="s">
        <v>20</v>
      </c>
      <c r="L124" s="39" t="s">
        <v>20</v>
      </c>
      <c r="M124" s="39" t="s">
        <v>20</v>
      </c>
      <c r="N124" s="39" t="s">
        <v>20</v>
      </c>
      <c r="O124" s="39" t="s">
        <v>20</v>
      </c>
      <c r="P124" s="40">
        <f>IF(COUNTA(G124:O124)=0,"",IFERROR(IF(K124="",0,CEILING(K124/'02_Capacity'!$E$25,1))+IF(L124="",0,CEILING(L124/'02_Capacity'!$E$20,1))+IF(M124="",0,CEILING(M124/'02_Capacity'!$E$20,1))+IF(N124="",0,CEILING(N124/'02_Capacity'!$E$20,1))+IF(O124="",0,CEILING(O124/'02_Capacity'!$E$20,1)),""))</f>
      </c>
      <c r="Q124" s="41" t="s">
        <v>20</v>
      </c>
      <c r="R124" s="38" t="s">
        <v>20</v>
      </c>
      <c r="S124" s="38" t="s">
        <v>20</v>
      </c>
      <c r="T124" s="38" t="s">
        <v>20</v>
      </c>
      <c r="U124" s="31"/>
      <c r="V124" s="31"/>
      <c r="W124" s="31"/>
      <c r="X124" s="31"/>
      <c r="Y124" s="31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9"/>
    </row>
    <row r="125" spans="1:36" x14ac:dyDescent="0.25">
      <c r="A125" s="36" t="s">
        <v>20</v>
      </c>
      <c r="B125" s="36" t="s">
        <v>20</v>
      </c>
      <c r="C125" s="36" t="s">
        <v>20</v>
      </c>
      <c r="D125" s="36" t="s">
        <v>20</v>
      </c>
      <c r="E125" s="36" t="s">
        <v>20</v>
      </c>
      <c r="F125" s="37" t="s">
        <v>20</v>
      </c>
      <c r="G125" s="38" t="s">
        <v>20</v>
      </c>
      <c r="H125" s="38" t="s">
        <v>20</v>
      </c>
      <c r="I125" s="38" t="s">
        <v>20</v>
      </c>
      <c r="J125" s="38" t="s">
        <v>20</v>
      </c>
      <c r="K125" s="39" t="s">
        <v>20</v>
      </c>
      <c r="L125" s="39" t="s">
        <v>20</v>
      </c>
      <c r="M125" s="39" t="s">
        <v>20</v>
      </c>
      <c r="N125" s="39" t="s">
        <v>20</v>
      </c>
      <c r="O125" s="39" t="s">
        <v>20</v>
      </c>
      <c r="P125" s="40">
        <f>IF(COUNTA(G125:O125)=0,"",IFERROR(IF(K125="",0,CEILING(K125/'02_Capacity'!$E$25,1))+IF(L125="",0,CEILING(L125/'02_Capacity'!$E$20,1))+IF(M125="",0,CEILING(M125/'02_Capacity'!$E$20,1))+IF(N125="",0,CEILING(N125/'02_Capacity'!$E$20,1))+IF(O125="",0,CEILING(O125/'02_Capacity'!$E$20,1)),""))</f>
      </c>
      <c r="Q125" s="41" t="s">
        <v>20</v>
      </c>
      <c r="R125" s="38" t="s">
        <v>20</v>
      </c>
      <c r="S125" s="38" t="s">
        <v>20</v>
      </c>
      <c r="T125" s="38" t="s">
        <v>20</v>
      </c>
      <c r="U125" s="31"/>
      <c r="V125" s="31"/>
      <c r="W125" s="31"/>
      <c r="X125" s="31"/>
      <c r="Y125" s="31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9"/>
    </row>
    <row r="126" spans="1:36" x14ac:dyDescent="0.25">
      <c r="A126" s="36" t="s">
        <v>20</v>
      </c>
      <c r="B126" s="36" t="s">
        <v>20</v>
      </c>
      <c r="C126" s="36" t="s">
        <v>20</v>
      </c>
      <c r="D126" s="36" t="s">
        <v>20</v>
      </c>
      <c r="E126" s="36" t="s">
        <v>20</v>
      </c>
      <c r="F126" s="37" t="s">
        <v>20</v>
      </c>
      <c r="G126" s="38" t="s">
        <v>20</v>
      </c>
      <c r="H126" s="38" t="s">
        <v>20</v>
      </c>
      <c r="I126" s="38" t="s">
        <v>20</v>
      </c>
      <c r="J126" s="38" t="s">
        <v>20</v>
      </c>
      <c r="K126" s="39" t="s">
        <v>20</v>
      </c>
      <c r="L126" s="39" t="s">
        <v>20</v>
      </c>
      <c r="M126" s="39" t="s">
        <v>20</v>
      </c>
      <c r="N126" s="39" t="s">
        <v>20</v>
      </c>
      <c r="O126" s="39" t="s">
        <v>20</v>
      </c>
      <c r="P126" s="40">
        <f>IF(COUNTA(G126:O126)=0,"",IFERROR(IF(K126="",0,CEILING(K126/'02_Capacity'!$E$25,1))+IF(L126="",0,CEILING(L126/'02_Capacity'!$E$20,1))+IF(M126="",0,CEILING(M126/'02_Capacity'!$E$20,1))+IF(N126="",0,CEILING(N126/'02_Capacity'!$E$20,1))+IF(O126="",0,CEILING(O126/'02_Capacity'!$E$20,1)),""))</f>
      </c>
      <c r="Q126" s="41" t="s">
        <v>20</v>
      </c>
      <c r="R126" s="38" t="s">
        <v>20</v>
      </c>
      <c r="S126" s="38" t="s">
        <v>20</v>
      </c>
      <c r="T126" s="38" t="s">
        <v>20</v>
      </c>
      <c r="U126" s="31"/>
      <c r="V126" s="31"/>
      <c r="W126" s="31"/>
      <c r="X126" s="31"/>
      <c r="Y126" s="31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9"/>
    </row>
    <row r="127" spans="1:36" x14ac:dyDescent="0.25">
      <c r="A127" s="36" t="s">
        <v>20</v>
      </c>
      <c r="B127" s="36" t="s">
        <v>20</v>
      </c>
      <c r="C127" s="36" t="s">
        <v>20</v>
      </c>
      <c r="D127" s="36" t="s">
        <v>20</v>
      </c>
      <c r="E127" s="36" t="s">
        <v>20</v>
      </c>
      <c r="F127" s="37" t="s">
        <v>20</v>
      </c>
      <c r="G127" s="38" t="s">
        <v>20</v>
      </c>
      <c r="H127" s="38" t="s">
        <v>20</v>
      </c>
      <c r="I127" s="38" t="s">
        <v>20</v>
      </c>
      <c r="J127" s="38" t="s">
        <v>20</v>
      </c>
      <c r="K127" s="39" t="s">
        <v>20</v>
      </c>
      <c r="L127" s="39" t="s">
        <v>20</v>
      </c>
      <c r="M127" s="39" t="s">
        <v>20</v>
      </c>
      <c r="N127" s="39" t="s">
        <v>20</v>
      </c>
      <c r="O127" s="39" t="s">
        <v>20</v>
      </c>
      <c r="P127" s="40">
        <f>IF(COUNTA(G127:O127)=0,"",IFERROR(IF(K127="",0,CEILING(K127/'02_Capacity'!$E$25,1))+IF(L127="",0,CEILING(L127/'02_Capacity'!$E$20,1))+IF(M127="",0,CEILING(M127/'02_Capacity'!$E$20,1))+IF(N127="",0,CEILING(N127/'02_Capacity'!$E$20,1))+IF(O127="",0,CEILING(O127/'02_Capacity'!$E$20,1)),""))</f>
      </c>
      <c r="Q127" s="41" t="s">
        <v>20</v>
      </c>
      <c r="R127" s="38" t="s">
        <v>20</v>
      </c>
      <c r="S127" s="38" t="s">
        <v>20</v>
      </c>
      <c r="T127" s="38" t="s">
        <v>20</v>
      </c>
      <c r="U127" s="31"/>
      <c r="V127" s="31"/>
      <c r="W127" s="31"/>
      <c r="X127" s="31"/>
      <c r="Y127" s="31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9"/>
    </row>
    <row r="128" spans="1:36" x14ac:dyDescent="0.25">
      <c r="A128" s="36" t="s">
        <v>20</v>
      </c>
      <c r="B128" s="36" t="s">
        <v>20</v>
      </c>
      <c r="C128" s="36" t="s">
        <v>20</v>
      </c>
      <c r="D128" s="36" t="s">
        <v>20</v>
      </c>
      <c r="E128" s="36" t="s">
        <v>20</v>
      </c>
      <c r="F128" s="37" t="s">
        <v>20</v>
      </c>
      <c r="G128" s="38" t="s">
        <v>20</v>
      </c>
      <c r="H128" s="38" t="s">
        <v>20</v>
      </c>
      <c r="I128" s="38" t="s">
        <v>20</v>
      </c>
      <c r="J128" s="38" t="s">
        <v>20</v>
      </c>
      <c r="K128" s="39" t="s">
        <v>20</v>
      </c>
      <c r="L128" s="39" t="s">
        <v>20</v>
      </c>
      <c r="M128" s="39" t="s">
        <v>20</v>
      </c>
      <c r="N128" s="39" t="s">
        <v>20</v>
      </c>
      <c r="O128" s="39" t="s">
        <v>20</v>
      </c>
      <c r="P128" s="40">
        <f>IF(COUNTA(G128:O128)=0,"",IFERROR(IF(K128="",0,CEILING(K128/'02_Capacity'!$E$25,1))+IF(L128="",0,CEILING(L128/'02_Capacity'!$E$20,1))+IF(M128="",0,CEILING(M128/'02_Capacity'!$E$20,1))+IF(N128="",0,CEILING(N128/'02_Capacity'!$E$20,1))+IF(O128="",0,CEILING(O128/'02_Capacity'!$E$20,1)),""))</f>
      </c>
      <c r="Q128" s="41" t="s">
        <v>20</v>
      </c>
      <c r="R128" s="38" t="s">
        <v>20</v>
      </c>
      <c r="S128" s="38" t="s">
        <v>20</v>
      </c>
      <c r="T128" s="38" t="s">
        <v>20</v>
      </c>
      <c r="U128" s="31"/>
      <c r="V128" s="31"/>
      <c r="W128" s="31"/>
      <c r="X128" s="31"/>
      <c r="Y128" s="31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9"/>
    </row>
    <row r="129" spans="1:36" x14ac:dyDescent="0.25">
      <c r="A129" s="36" t="s">
        <v>20</v>
      </c>
      <c r="B129" s="36" t="s">
        <v>20</v>
      </c>
      <c r="C129" s="36" t="s">
        <v>20</v>
      </c>
      <c r="D129" s="36" t="s">
        <v>20</v>
      </c>
      <c r="E129" s="36" t="s">
        <v>20</v>
      </c>
      <c r="F129" s="37" t="s">
        <v>20</v>
      </c>
      <c r="G129" s="38" t="s">
        <v>20</v>
      </c>
      <c r="H129" s="38" t="s">
        <v>20</v>
      </c>
      <c r="I129" s="38" t="s">
        <v>20</v>
      </c>
      <c r="J129" s="38" t="s">
        <v>20</v>
      </c>
      <c r="K129" s="39" t="s">
        <v>20</v>
      </c>
      <c r="L129" s="39" t="s">
        <v>20</v>
      </c>
      <c r="M129" s="39" t="s">
        <v>20</v>
      </c>
      <c r="N129" s="39" t="s">
        <v>20</v>
      </c>
      <c r="O129" s="39" t="s">
        <v>20</v>
      </c>
      <c r="P129" s="40">
        <f>IF(COUNTA(G129:O129)=0,"",IFERROR(IF(K129="",0,CEILING(K129/'02_Capacity'!$E$25,1))+IF(L129="",0,CEILING(L129/'02_Capacity'!$E$20,1))+IF(M129="",0,CEILING(M129/'02_Capacity'!$E$20,1))+IF(N129="",0,CEILING(N129/'02_Capacity'!$E$20,1))+IF(O129="",0,CEILING(O129/'02_Capacity'!$E$20,1)),""))</f>
      </c>
      <c r="Q129" s="41" t="s">
        <v>20</v>
      </c>
      <c r="R129" s="38" t="s">
        <v>20</v>
      </c>
      <c r="S129" s="38" t="s">
        <v>20</v>
      </c>
      <c r="T129" s="38" t="s">
        <v>20</v>
      </c>
      <c r="U129" s="31"/>
      <c r="V129" s="31"/>
      <c r="W129" s="31"/>
      <c r="X129" s="31"/>
      <c r="Y129" s="31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9"/>
    </row>
    <row r="130" spans="1:36" x14ac:dyDescent="0.25">
      <c r="A130" s="36" t="s">
        <v>20</v>
      </c>
      <c r="B130" s="36" t="s">
        <v>20</v>
      </c>
      <c r="C130" s="36" t="s">
        <v>20</v>
      </c>
      <c r="D130" s="36" t="s">
        <v>20</v>
      </c>
      <c r="E130" s="36" t="s">
        <v>20</v>
      </c>
      <c r="F130" s="37" t="s">
        <v>20</v>
      </c>
      <c r="G130" s="38" t="s">
        <v>20</v>
      </c>
      <c r="H130" s="38" t="s">
        <v>20</v>
      </c>
      <c r="I130" s="38" t="s">
        <v>20</v>
      </c>
      <c r="J130" s="38" t="s">
        <v>20</v>
      </c>
      <c r="K130" s="39" t="s">
        <v>20</v>
      </c>
      <c r="L130" s="39" t="s">
        <v>20</v>
      </c>
      <c r="M130" s="39" t="s">
        <v>20</v>
      </c>
      <c r="N130" s="39" t="s">
        <v>20</v>
      </c>
      <c r="O130" s="39" t="s">
        <v>20</v>
      </c>
      <c r="P130" s="40">
        <f>IF(COUNTA(G130:O130)=0,"",IFERROR(IF(K130="",0,CEILING(K130/'02_Capacity'!$E$25,1))+IF(L130="",0,CEILING(L130/'02_Capacity'!$E$20,1))+IF(M130="",0,CEILING(M130/'02_Capacity'!$E$20,1))+IF(N130="",0,CEILING(N130/'02_Capacity'!$E$20,1))+IF(O130="",0,CEILING(O130/'02_Capacity'!$E$20,1)),""))</f>
      </c>
      <c r="Q130" s="41" t="s">
        <v>20</v>
      </c>
      <c r="R130" s="38" t="s">
        <v>20</v>
      </c>
      <c r="S130" s="38" t="s">
        <v>20</v>
      </c>
      <c r="T130" s="38" t="s">
        <v>20</v>
      </c>
      <c r="U130" s="31"/>
      <c r="V130" s="31"/>
      <c r="W130" s="31"/>
      <c r="X130" s="31"/>
      <c r="Y130" s="31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9"/>
    </row>
    <row r="131" spans="1:36" x14ac:dyDescent="0.25">
      <c r="A131" s="36" t="s">
        <v>20</v>
      </c>
      <c r="B131" s="36" t="s">
        <v>20</v>
      </c>
      <c r="C131" s="36" t="s">
        <v>20</v>
      </c>
      <c r="D131" s="36" t="s">
        <v>20</v>
      </c>
      <c r="E131" s="36" t="s">
        <v>20</v>
      </c>
      <c r="F131" s="37" t="s">
        <v>20</v>
      </c>
      <c r="G131" s="38" t="s">
        <v>20</v>
      </c>
      <c r="H131" s="38" t="s">
        <v>20</v>
      </c>
      <c r="I131" s="38" t="s">
        <v>20</v>
      </c>
      <c r="J131" s="38" t="s">
        <v>20</v>
      </c>
      <c r="K131" s="39" t="s">
        <v>20</v>
      </c>
      <c r="L131" s="39" t="s">
        <v>20</v>
      </c>
      <c r="M131" s="39" t="s">
        <v>20</v>
      </c>
      <c r="N131" s="39" t="s">
        <v>20</v>
      </c>
      <c r="O131" s="39" t="s">
        <v>20</v>
      </c>
      <c r="P131" s="40">
        <f>IF(COUNTA(G131:O131)=0,"",IFERROR(IF(K131="",0,CEILING(K131/'02_Capacity'!$E$25,1))+IF(L131="",0,CEILING(L131/'02_Capacity'!$E$20,1))+IF(M131="",0,CEILING(M131/'02_Capacity'!$E$20,1))+IF(N131="",0,CEILING(N131/'02_Capacity'!$E$20,1))+IF(O131="",0,CEILING(O131/'02_Capacity'!$E$20,1)),""))</f>
      </c>
      <c r="Q131" s="41" t="s">
        <v>20</v>
      </c>
      <c r="R131" s="38" t="s">
        <v>20</v>
      </c>
      <c r="S131" s="38" t="s">
        <v>20</v>
      </c>
      <c r="T131" s="38" t="s">
        <v>20</v>
      </c>
      <c r="U131" s="31"/>
      <c r="V131" s="31"/>
      <c r="W131" s="31"/>
      <c r="X131" s="31"/>
      <c r="Y131" s="31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9"/>
    </row>
    <row r="132" spans="1:36" x14ac:dyDescent="0.25">
      <c r="A132" s="36" t="s">
        <v>20</v>
      </c>
      <c r="B132" s="36" t="s">
        <v>20</v>
      </c>
      <c r="C132" s="36" t="s">
        <v>20</v>
      </c>
      <c r="D132" s="36" t="s">
        <v>20</v>
      </c>
      <c r="E132" s="36" t="s">
        <v>20</v>
      </c>
      <c r="F132" s="37" t="s">
        <v>20</v>
      </c>
      <c r="G132" s="38" t="s">
        <v>20</v>
      </c>
      <c r="H132" s="38" t="s">
        <v>20</v>
      </c>
      <c r="I132" s="38" t="s">
        <v>20</v>
      </c>
      <c r="J132" s="38" t="s">
        <v>20</v>
      </c>
      <c r="K132" s="39" t="s">
        <v>20</v>
      </c>
      <c r="L132" s="39" t="s">
        <v>20</v>
      </c>
      <c r="M132" s="39" t="s">
        <v>20</v>
      </c>
      <c r="N132" s="39" t="s">
        <v>20</v>
      </c>
      <c r="O132" s="39" t="s">
        <v>20</v>
      </c>
      <c r="P132" s="40">
        <f>IF(COUNTA(G132:O132)=0,"",IFERROR(IF(K132="",0,CEILING(K132/'02_Capacity'!$E$25,1))+IF(L132="",0,CEILING(L132/'02_Capacity'!$E$20,1))+IF(M132="",0,CEILING(M132/'02_Capacity'!$E$20,1))+IF(N132="",0,CEILING(N132/'02_Capacity'!$E$20,1))+IF(O132="",0,CEILING(O132/'02_Capacity'!$E$20,1)),""))</f>
      </c>
      <c r="Q132" s="41" t="s">
        <v>20</v>
      </c>
      <c r="R132" s="38" t="s">
        <v>20</v>
      </c>
      <c r="S132" s="38" t="s">
        <v>20</v>
      </c>
      <c r="T132" s="38" t="s">
        <v>20</v>
      </c>
      <c r="U132" s="31"/>
      <c r="V132" s="31"/>
      <c r="W132" s="31"/>
      <c r="X132" s="31"/>
      <c r="Y132" s="31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9"/>
    </row>
    <row r="133" spans="1:36" x14ac:dyDescent="0.25">
      <c r="A133" s="36" t="s">
        <v>20</v>
      </c>
      <c r="B133" s="36" t="s">
        <v>20</v>
      </c>
      <c r="C133" s="36" t="s">
        <v>20</v>
      </c>
      <c r="D133" s="36" t="s">
        <v>20</v>
      </c>
      <c r="E133" s="36" t="s">
        <v>20</v>
      </c>
      <c r="F133" s="37" t="s">
        <v>20</v>
      </c>
      <c r="G133" s="38" t="s">
        <v>20</v>
      </c>
      <c r="H133" s="38" t="s">
        <v>20</v>
      </c>
      <c r="I133" s="38" t="s">
        <v>20</v>
      </c>
      <c r="J133" s="38" t="s">
        <v>20</v>
      </c>
      <c r="K133" s="39" t="s">
        <v>20</v>
      </c>
      <c r="L133" s="39" t="s">
        <v>20</v>
      </c>
      <c r="M133" s="39" t="s">
        <v>20</v>
      </c>
      <c r="N133" s="39" t="s">
        <v>20</v>
      </c>
      <c r="O133" s="39" t="s">
        <v>20</v>
      </c>
      <c r="P133" s="40">
        <f>IF(COUNTA(G133:O133)=0,"",IFERROR(IF(K133="",0,CEILING(K133/'02_Capacity'!$E$25,1))+IF(L133="",0,CEILING(L133/'02_Capacity'!$E$20,1))+IF(M133="",0,CEILING(M133/'02_Capacity'!$E$20,1))+IF(N133="",0,CEILING(N133/'02_Capacity'!$E$20,1))+IF(O133="",0,CEILING(O133/'02_Capacity'!$E$20,1)),""))</f>
      </c>
      <c r="Q133" s="41" t="s">
        <v>20</v>
      </c>
      <c r="R133" s="38" t="s">
        <v>20</v>
      </c>
      <c r="S133" s="38" t="s">
        <v>20</v>
      </c>
      <c r="T133" s="38" t="s">
        <v>20</v>
      </c>
      <c r="U133" s="31"/>
      <c r="V133" s="31"/>
      <c r="W133" s="31"/>
      <c r="X133" s="31"/>
      <c r="Y133" s="31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9"/>
    </row>
    <row r="134" spans="1:36" x14ac:dyDescent="0.25">
      <c r="A134" s="36" t="s">
        <v>20</v>
      </c>
      <c r="B134" s="36" t="s">
        <v>20</v>
      </c>
      <c r="C134" s="36" t="s">
        <v>20</v>
      </c>
      <c r="D134" s="36" t="s">
        <v>20</v>
      </c>
      <c r="E134" s="36" t="s">
        <v>20</v>
      </c>
      <c r="F134" s="37" t="s">
        <v>20</v>
      </c>
      <c r="G134" s="38" t="s">
        <v>20</v>
      </c>
      <c r="H134" s="38" t="s">
        <v>20</v>
      </c>
      <c r="I134" s="38" t="s">
        <v>20</v>
      </c>
      <c r="J134" s="38" t="s">
        <v>20</v>
      </c>
      <c r="K134" s="39" t="s">
        <v>20</v>
      </c>
      <c r="L134" s="39" t="s">
        <v>20</v>
      </c>
      <c r="M134" s="39" t="s">
        <v>20</v>
      </c>
      <c r="N134" s="39" t="s">
        <v>20</v>
      </c>
      <c r="O134" s="39" t="s">
        <v>20</v>
      </c>
      <c r="P134" s="40">
        <f>IF(COUNTA(G134:O134)=0,"",IFERROR(IF(K134="",0,CEILING(K134/'02_Capacity'!$E$25,1))+IF(L134="",0,CEILING(L134/'02_Capacity'!$E$20,1))+IF(M134="",0,CEILING(M134/'02_Capacity'!$E$20,1))+IF(N134="",0,CEILING(N134/'02_Capacity'!$E$20,1))+IF(O134="",0,CEILING(O134/'02_Capacity'!$E$20,1)),""))</f>
      </c>
      <c r="Q134" s="41" t="s">
        <v>20</v>
      </c>
      <c r="R134" s="38" t="s">
        <v>20</v>
      </c>
      <c r="S134" s="38" t="s">
        <v>20</v>
      </c>
      <c r="T134" s="38" t="s">
        <v>20</v>
      </c>
      <c r="U134" s="31"/>
      <c r="V134" s="31"/>
      <c r="W134" s="31"/>
      <c r="X134" s="31"/>
      <c r="Y134" s="31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9"/>
    </row>
    <row r="135" spans="1:36" x14ac:dyDescent="0.25">
      <c r="A135" s="36" t="s">
        <v>20</v>
      </c>
      <c r="B135" s="36" t="s">
        <v>20</v>
      </c>
      <c r="C135" s="36" t="s">
        <v>20</v>
      </c>
      <c r="D135" s="36" t="s">
        <v>20</v>
      </c>
      <c r="E135" s="36" t="s">
        <v>20</v>
      </c>
      <c r="F135" s="37" t="s">
        <v>20</v>
      </c>
      <c r="G135" s="38" t="s">
        <v>20</v>
      </c>
      <c r="H135" s="38" t="s">
        <v>20</v>
      </c>
      <c r="I135" s="38" t="s">
        <v>20</v>
      </c>
      <c r="J135" s="38" t="s">
        <v>20</v>
      </c>
      <c r="K135" s="39" t="s">
        <v>20</v>
      </c>
      <c r="L135" s="39" t="s">
        <v>20</v>
      </c>
      <c r="M135" s="39" t="s">
        <v>20</v>
      </c>
      <c r="N135" s="39" t="s">
        <v>20</v>
      </c>
      <c r="O135" s="39" t="s">
        <v>20</v>
      </c>
      <c r="P135" s="40">
        <f>IF(COUNTA(G135:O135)=0,"",IFERROR(IF(K135="",0,CEILING(K135/'02_Capacity'!$E$25,1))+IF(L135="",0,CEILING(L135/'02_Capacity'!$E$20,1))+IF(M135="",0,CEILING(M135/'02_Capacity'!$E$20,1))+IF(N135="",0,CEILING(N135/'02_Capacity'!$E$20,1))+IF(O135="",0,CEILING(O135/'02_Capacity'!$E$20,1)),""))</f>
      </c>
      <c r="Q135" s="41" t="s">
        <v>20</v>
      </c>
      <c r="R135" s="38" t="s">
        <v>20</v>
      </c>
      <c r="S135" s="38" t="s">
        <v>20</v>
      </c>
      <c r="T135" s="38" t="s">
        <v>20</v>
      </c>
      <c r="U135" s="31"/>
      <c r="V135" s="31"/>
      <c r="W135" s="31"/>
      <c r="X135" s="31"/>
      <c r="Y135" s="31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9"/>
    </row>
    <row r="136" spans="1:36" x14ac:dyDescent="0.25">
      <c r="A136" s="36" t="s">
        <v>20</v>
      </c>
      <c r="B136" s="36" t="s">
        <v>20</v>
      </c>
      <c r="C136" s="36" t="s">
        <v>20</v>
      </c>
      <c r="D136" s="36" t="s">
        <v>20</v>
      </c>
      <c r="E136" s="36" t="s">
        <v>20</v>
      </c>
      <c r="F136" s="37" t="s">
        <v>20</v>
      </c>
      <c r="G136" s="38" t="s">
        <v>20</v>
      </c>
      <c r="H136" s="38" t="s">
        <v>20</v>
      </c>
      <c r="I136" s="38" t="s">
        <v>20</v>
      </c>
      <c r="J136" s="38" t="s">
        <v>20</v>
      </c>
      <c r="K136" s="39" t="s">
        <v>20</v>
      </c>
      <c r="L136" s="39" t="s">
        <v>20</v>
      </c>
      <c r="M136" s="39" t="s">
        <v>20</v>
      </c>
      <c r="N136" s="39" t="s">
        <v>20</v>
      </c>
      <c r="O136" s="39" t="s">
        <v>20</v>
      </c>
      <c r="P136" s="40">
        <f>IF(COUNTA(G136:O136)=0,"",IFERROR(IF(K136="",0,CEILING(K136/'02_Capacity'!$E$25,1))+IF(L136="",0,CEILING(L136/'02_Capacity'!$E$20,1))+IF(M136="",0,CEILING(M136/'02_Capacity'!$E$20,1))+IF(N136="",0,CEILING(N136/'02_Capacity'!$E$20,1))+IF(O136="",0,CEILING(O136/'02_Capacity'!$E$20,1)),""))</f>
      </c>
      <c r="Q136" s="41" t="s">
        <v>20</v>
      </c>
      <c r="R136" s="38" t="s">
        <v>20</v>
      </c>
      <c r="S136" s="38" t="s">
        <v>20</v>
      </c>
      <c r="T136" s="38" t="s">
        <v>20</v>
      </c>
      <c r="U136" s="31"/>
      <c r="V136" s="31"/>
      <c r="W136" s="31"/>
      <c r="X136" s="31"/>
      <c r="Y136" s="31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9"/>
    </row>
    <row r="137" spans="1:36" x14ac:dyDescent="0.25">
      <c r="A137" s="36" t="s">
        <v>20</v>
      </c>
      <c r="B137" s="36" t="s">
        <v>20</v>
      </c>
      <c r="C137" s="36" t="s">
        <v>20</v>
      </c>
      <c r="D137" s="36" t="s">
        <v>20</v>
      </c>
      <c r="E137" s="36" t="s">
        <v>20</v>
      </c>
      <c r="F137" s="37" t="s">
        <v>20</v>
      </c>
      <c r="G137" s="38" t="s">
        <v>20</v>
      </c>
      <c r="H137" s="38" t="s">
        <v>20</v>
      </c>
      <c r="I137" s="38" t="s">
        <v>20</v>
      </c>
      <c r="J137" s="38" t="s">
        <v>20</v>
      </c>
      <c r="K137" s="39" t="s">
        <v>20</v>
      </c>
      <c r="L137" s="39" t="s">
        <v>20</v>
      </c>
      <c r="M137" s="39" t="s">
        <v>20</v>
      </c>
      <c r="N137" s="39" t="s">
        <v>20</v>
      </c>
      <c r="O137" s="39" t="s">
        <v>20</v>
      </c>
      <c r="P137" s="40">
        <f>IF(COUNTA(G137:O137)=0,"",IFERROR(IF(K137="",0,CEILING(K137/'02_Capacity'!$E$25,1))+IF(L137="",0,CEILING(L137/'02_Capacity'!$E$20,1))+IF(M137="",0,CEILING(M137/'02_Capacity'!$E$20,1))+IF(N137="",0,CEILING(N137/'02_Capacity'!$E$20,1))+IF(O137="",0,CEILING(O137/'02_Capacity'!$E$20,1)),""))</f>
      </c>
      <c r="Q137" s="41" t="s">
        <v>20</v>
      </c>
      <c r="R137" s="38" t="s">
        <v>20</v>
      </c>
      <c r="S137" s="38" t="s">
        <v>20</v>
      </c>
      <c r="T137" s="38" t="s">
        <v>20</v>
      </c>
      <c r="U137" s="31"/>
      <c r="V137" s="31"/>
      <c r="W137" s="31"/>
      <c r="X137" s="31"/>
      <c r="Y137" s="31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9"/>
    </row>
    <row r="138" spans="1:36" x14ac:dyDescent="0.25">
      <c r="A138" s="36" t="s">
        <v>20</v>
      </c>
      <c r="B138" s="36" t="s">
        <v>20</v>
      </c>
      <c r="C138" s="36" t="s">
        <v>20</v>
      </c>
      <c r="D138" s="36" t="s">
        <v>20</v>
      </c>
      <c r="E138" s="36" t="s">
        <v>20</v>
      </c>
      <c r="F138" s="37" t="s">
        <v>20</v>
      </c>
      <c r="G138" s="38" t="s">
        <v>20</v>
      </c>
      <c r="H138" s="38" t="s">
        <v>20</v>
      </c>
      <c r="I138" s="38" t="s">
        <v>20</v>
      </c>
      <c r="J138" s="38" t="s">
        <v>20</v>
      </c>
      <c r="K138" s="39" t="s">
        <v>20</v>
      </c>
      <c r="L138" s="39" t="s">
        <v>20</v>
      </c>
      <c r="M138" s="39" t="s">
        <v>20</v>
      </c>
      <c r="N138" s="39" t="s">
        <v>20</v>
      </c>
      <c r="O138" s="39" t="s">
        <v>20</v>
      </c>
      <c r="P138" s="40">
        <f>IF(COUNTA(G138:O138)=0,"",IFERROR(IF(K138="",0,CEILING(K138/'02_Capacity'!$E$25,1))+IF(L138="",0,CEILING(L138/'02_Capacity'!$E$20,1))+IF(M138="",0,CEILING(M138/'02_Capacity'!$E$20,1))+IF(N138="",0,CEILING(N138/'02_Capacity'!$E$20,1))+IF(O138="",0,CEILING(O138/'02_Capacity'!$E$20,1)),""))</f>
      </c>
      <c r="Q138" s="41" t="s">
        <v>20</v>
      </c>
      <c r="R138" s="38" t="s">
        <v>20</v>
      </c>
      <c r="S138" s="38" t="s">
        <v>20</v>
      </c>
      <c r="T138" s="38" t="s">
        <v>20</v>
      </c>
      <c r="U138" s="31"/>
      <c r="V138" s="31"/>
      <c r="W138" s="31"/>
      <c r="X138" s="31"/>
      <c r="Y138" s="31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9"/>
    </row>
    <row r="139" spans="1:36" x14ac:dyDescent="0.25">
      <c r="A139" s="36" t="s">
        <v>20</v>
      </c>
      <c r="B139" s="36" t="s">
        <v>20</v>
      </c>
      <c r="C139" s="36" t="s">
        <v>20</v>
      </c>
      <c r="D139" s="36" t="s">
        <v>20</v>
      </c>
      <c r="E139" s="36" t="s">
        <v>20</v>
      </c>
      <c r="F139" s="37" t="s">
        <v>20</v>
      </c>
      <c r="G139" s="38" t="s">
        <v>20</v>
      </c>
      <c r="H139" s="38" t="s">
        <v>20</v>
      </c>
      <c r="I139" s="38" t="s">
        <v>20</v>
      </c>
      <c r="J139" s="38" t="s">
        <v>20</v>
      </c>
      <c r="K139" s="39" t="s">
        <v>20</v>
      </c>
      <c r="L139" s="39" t="s">
        <v>20</v>
      </c>
      <c r="M139" s="39" t="s">
        <v>20</v>
      </c>
      <c r="N139" s="39" t="s">
        <v>20</v>
      </c>
      <c r="O139" s="39" t="s">
        <v>20</v>
      </c>
      <c r="P139" s="40">
        <f>IF(COUNTA(G139:O139)=0,"",IFERROR(IF(K139="",0,CEILING(K139/'02_Capacity'!$E$25,1))+IF(L139="",0,CEILING(L139/'02_Capacity'!$E$20,1))+IF(M139="",0,CEILING(M139/'02_Capacity'!$E$20,1))+IF(N139="",0,CEILING(N139/'02_Capacity'!$E$20,1))+IF(O139="",0,CEILING(O139/'02_Capacity'!$E$20,1)),""))</f>
      </c>
      <c r="Q139" s="41" t="s">
        <v>20</v>
      </c>
      <c r="R139" s="38" t="s">
        <v>20</v>
      </c>
      <c r="S139" s="38" t="s">
        <v>20</v>
      </c>
      <c r="T139" s="38" t="s">
        <v>20</v>
      </c>
      <c r="U139" s="31"/>
      <c r="V139" s="31"/>
      <c r="W139" s="31"/>
      <c r="X139" s="31"/>
      <c r="Y139" s="31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9"/>
    </row>
    <row r="140" spans="1:36" x14ac:dyDescent="0.25">
      <c r="A140" s="36" t="s">
        <v>20</v>
      </c>
      <c r="B140" s="36" t="s">
        <v>20</v>
      </c>
      <c r="C140" s="36" t="s">
        <v>20</v>
      </c>
      <c r="D140" s="36" t="s">
        <v>20</v>
      </c>
      <c r="E140" s="36" t="s">
        <v>20</v>
      </c>
      <c r="F140" s="37" t="s">
        <v>20</v>
      </c>
      <c r="G140" s="38" t="s">
        <v>20</v>
      </c>
      <c r="H140" s="38" t="s">
        <v>20</v>
      </c>
      <c r="I140" s="38" t="s">
        <v>20</v>
      </c>
      <c r="J140" s="38" t="s">
        <v>20</v>
      </c>
      <c r="K140" s="39" t="s">
        <v>20</v>
      </c>
      <c r="L140" s="39" t="s">
        <v>20</v>
      </c>
      <c r="M140" s="39" t="s">
        <v>20</v>
      </c>
      <c r="N140" s="39" t="s">
        <v>20</v>
      </c>
      <c r="O140" s="39" t="s">
        <v>20</v>
      </c>
      <c r="P140" s="40">
        <f>IF(COUNTA(G140:O140)=0,"",IFERROR(IF(K140="",0,CEILING(K140/'02_Capacity'!$E$25,1))+IF(L140="",0,CEILING(L140/'02_Capacity'!$E$20,1))+IF(M140="",0,CEILING(M140/'02_Capacity'!$E$20,1))+IF(N140="",0,CEILING(N140/'02_Capacity'!$E$20,1))+IF(O140="",0,CEILING(O140/'02_Capacity'!$E$20,1)),""))</f>
      </c>
      <c r="Q140" s="41" t="s">
        <v>20</v>
      </c>
      <c r="R140" s="38" t="s">
        <v>20</v>
      </c>
      <c r="S140" s="38" t="s">
        <v>20</v>
      </c>
      <c r="T140" s="38" t="s">
        <v>20</v>
      </c>
      <c r="U140" s="31"/>
      <c r="V140" s="31"/>
      <c r="W140" s="31"/>
      <c r="X140" s="31"/>
      <c r="Y140" s="31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9"/>
    </row>
    <row r="141" spans="1:36" x14ac:dyDescent="0.25">
      <c r="A141" s="36" t="s">
        <v>20</v>
      </c>
      <c r="B141" s="36" t="s">
        <v>20</v>
      </c>
      <c r="C141" s="36" t="s">
        <v>20</v>
      </c>
      <c r="D141" s="36" t="s">
        <v>20</v>
      </c>
      <c r="E141" s="36" t="s">
        <v>20</v>
      </c>
      <c r="F141" s="37" t="s">
        <v>20</v>
      </c>
      <c r="G141" s="38" t="s">
        <v>20</v>
      </c>
      <c r="H141" s="38" t="s">
        <v>20</v>
      </c>
      <c r="I141" s="38" t="s">
        <v>20</v>
      </c>
      <c r="J141" s="38" t="s">
        <v>20</v>
      </c>
      <c r="K141" s="39" t="s">
        <v>20</v>
      </c>
      <c r="L141" s="39" t="s">
        <v>20</v>
      </c>
      <c r="M141" s="39" t="s">
        <v>20</v>
      </c>
      <c r="N141" s="39" t="s">
        <v>20</v>
      </c>
      <c r="O141" s="39" t="s">
        <v>20</v>
      </c>
      <c r="P141" s="40">
        <f>IF(COUNTA(G141:O141)=0,"",IFERROR(IF(K141="",0,CEILING(K141/'02_Capacity'!$E$25,1))+IF(L141="",0,CEILING(L141/'02_Capacity'!$E$20,1))+IF(M141="",0,CEILING(M141/'02_Capacity'!$E$20,1))+IF(N141="",0,CEILING(N141/'02_Capacity'!$E$20,1))+IF(O141="",0,CEILING(O141/'02_Capacity'!$E$20,1)),""))</f>
      </c>
      <c r="Q141" s="41" t="s">
        <v>20</v>
      </c>
      <c r="R141" s="38" t="s">
        <v>20</v>
      </c>
      <c r="S141" s="38" t="s">
        <v>20</v>
      </c>
      <c r="T141" s="38" t="s">
        <v>20</v>
      </c>
      <c r="U141" s="31"/>
      <c r="V141" s="31"/>
      <c r="W141" s="31"/>
      <c r="X141" s="31"/>
      <c r="Y141" s="31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9"/>
    </row>
    <row r="142" spans="1:36" x14ac:dyDescent="0.25">
      <c r="A142" s="36" t="s">
        <v>20</v>
      </c>
      <c r="B142" s="36" t="s">
        <v>20</v>
      </c>
      <c r="C142" s="36" t="s">
        <v>20</v>
      </c>
      <c r="D142" s="36" t="s">
        <v>20</v>
      </c>
      <c r="E142" s="36" t="s">
        <v>20</v>
      </c>
      <c r="F142" s="37" t="s">
        <v>20</v>
      </c>
      <c r="G142" s="38" t="s">
        <v>20</v>
      </c>
      <c r="H142" s="38" t="s">
        <v>20</v>
      </c>
      <c r="I142" s="38" t="s">
        <v>20</v>
      </c>
      <c r="J142" s="38" t="s">
        <v>20</v>
      </c>
      <c r="K142" s="39" t="s">
        <v>20</v>
      </c>
      <c r="L142" s="39" t="s">
        <v>20</v>
      </c>
      <c r="M142" s="39" t="s">
        <v>20</v>
      </c>
      <c r="N142" s="39" t="s">
        <v>20</v>
      </c>
      <c r="O142" s="39" t="s">
        <v>20</v>
      </c>
      <c r="P142" s="40">
        <f>IF(COUNTA(G142:O142)=0,"",IFERROR(IF(K142="",0,CEILING(K142/'02_Capacity'!$E$25,1))+IF(L142="",0,CEILING(L142/'02_Capacity'!$E$20,1))+IF(M142="",0,CEILING(M142/'02_Capacity'!$E$20,1))+IF(N142="",0,CEILING(N142/'02_Capacity'!$E$20,1))+IF(O142="",0,CEILING(O142/'02_Capacity'!$E$20,1)),""))</f>
      </c>
      <c r="Q142" s="41" t="s">
        <v>20</v>
      </c>
      <c r="R142" s="38" t="s">
        <v>20</v>
      </c>
      <c r="S142" s="38" t="s">
        <v>20</v>
      </c>
      <c r="T142" s="38" t="s">
        <v>20</v>
      </c>
      <c r="U142" s="31"/>
      <c r="V142" s="31"/>
      <c r="W142" s="31"/>
      <c r="X142" s="31"/>
      <c r="Y142" s="31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9"/>
    </row>
    <row r="143" spans="1:36" x14ac:dyDescent="0.25">
      <c r="A143" s="36" t="s">
        <v>20</v>
      </c>
      <c r="B143" s="36" t="s">
        <v>20</v>
      </c>
      <c r="C143" s="36" t="s">
        <v>20</v>
      </c>
      <c r="D143" s="36" t="s">
        <v>20</v>
      </c>
      <c r="E143" s="36" t="s">
        <v>20</v>
      </c>
      <c r="F143" s="37" t="s">
        <v>20</v>
      </c>
      <c r="G143" s="38" t="s">
        <v>20</v>
      </c>
      <c r="H143" s="38" t="s">
        <v>20</v>
      </c>
      <c r="I143" s="38" t="s">
        <v>20</v>
      </c>
      <c r="J143" s="38" t="s">
        <v>20</v>
      </c>
      <c r="K143" s="39" t="s">
        <v>20</v>
      </c>
      <c r="L143" s="39" t="s">
        <v>20</v>
      </c>
      <c r="M143" s="39" t="s">
        <v>20</v>
      </c>
      <c r="N143" s="39" t="s">
        <v>20</v>
      </c>
      <c r="O143" s="39" t="s">
        <v>20</v>
      </c>
      <c r="P143" s="40">
        <f>IF(COUNTA(G143:O143)=0,"",IFERROR(IF(K143="",0,CEILING(K143/'02_Capacity'!$E$25,1))+IF(L143="",0,CEILING(L143/'02_Capacity'!$E$20,1))+IF(M143="",0,CEILING(M143/'02_Capacity'!$E$20,1))+IF(N143="",0,CEILING(N143/'02_Capacity'!$E$20,1))+IF(O143="",0,CEILING(O143/'02_Capacity'!$E$20,1)),""))</f>
      </c>
      <c r="Q143" s="41" t="s">
        <v>20</v>
      </c>
      <c r="R143" s="38" t="s">
        <v>20</v>
      </c>
      <c r="S143" s="38" t="s">
        <v>20</v>
      </c>
      <c r="T143" s="38" t="s">
        <v>20</v>
      </c>
      <c r="U143" s="31"/>
      <c r="V143" s="31"/>
      <c r="W143" s="31"/>
      <c r="X143" s="31"/>
      <c r="Y143" s="31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9"/>
    </row>
    <row r="144" spans="1:36" x14ac:dyDescent="0.25">
      <c r="A144" s="36" t="s">
        <v>20</v>
      </c>
      <c r="B144" s="36" t="s">
        <v>20</v>
      </c>
      <c r="C144" s="36" t="s">
        <v>20</v>
      </c>
      <c r="D144" s="36" t="s">
        <v>20</v>
      </c>
      <c r="E144" s="36" t="s">
        <v>20</v>
      </c>
      <c r="F144" s="37" t="s">
        <v>20</v>
      </c>
      <c r="G144" s="38" t="s">
        <v>20</v>
      </c>
      <c r="H144" s="38" t="s">
        <v>20</v>
      </c>
      <c r="I144" s="38" t="s">
        <v>20</v>
      </c>
      <c r="J144" s="38" t="s">
        <v>20</v>
      </c>
      <c r="K144" s="39" t="s">
        <v>20</v>
      </c>
      <c r="L144" s="39" t="s">
        <v>20</v>
      </c>
      <c r="M144" s="39" t="s">
        <v>20</v>
      </c>
      <c r="N144" s="39" t="s">
        <v>20</v>
      </c>
      <c r="O144" s="39" t="s">
        <v>20</v>
      </c>
      <c r="P144" s="40">
        <f>IF(COUNTA(G144:O144)=0,"",IFERROR(IF(K144="",0,CEILING(K144/'02_Capacity'!$E$25,1))+IF(L144="",0,CEILING(L144/'02_Capacity'!$E$20,1))+IF(M144="",0,CEILING(M144/'02_Capacity'!$E$20,1))+IF(N144="",0,CEILING(N144/'02_Capacity'!$E$20,1))+IF(O144="",0,CEILING(O144/'02_Capacity'!$E$20,1)),""))</f>
      </c>
      <c r="Q144" s="41" t="s">
        <v>20</v>
      </c>
      <c r="R144" s="38" t="s">
        <v>20</v>
      </c>
      <c r="S144" s="38" t="s">
        <v>20</v>
      </c>
      <c r="T144" s="38" t="s">
        <v>20</v>
      </c>
      <c r="U144" s="31"/>
      <c r="V144" s="31"/>
      <c r="W144" s="31"/>
      <c r="X144" s="31"/>
      <c r="Y144" s="31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9"/>
    </row>
    <row r="145" spans="1:36" x14ac:dyDescent="0.25">
      <c r="A145" s="36" t="s">
        <v>20</v>
      </c>
      <c r="B145" s="36" t="s">
        <v>20</v>
      </c>
      <c r="C145" s="36" t="s">
        <v>20</v>
      </c>
      <c r="D145" s="36" t="s">
        <v>20</v>
      </c>
      <c r="E145" s="36" t="s">
        <v>20</v>
      </c>
      <c r="F145" s="37" t="s">
        <v>20</v>
      </c>
      <c r="G145" s="38" t="s">
        <v>20</v>
      </c>
      <c r="H145" s="38" t="s">
        <v>20</v>
      </c>
      <c r="I145" s="38" t="s">
        <v>20</v>
      </c>
      <c r="J145" s="38" t="s">
        <v>20</v>
      </c>
      <c r="K145" s="39" t="s">
        <v>20</v>
      </c>
      <c r="L145" s="39" t="s">
        <v>20</v>
      </c>
      <c r="M145" s="39" t="s">
        <v>20</v>
      </c>
      <c r="N145" s="39" t="s">
        <v>20</v>
      </c>
      <c r="O145" s="39" t="s">
        <v>20</v>
      </c>
      <c r="P145" s="40">
        <f>IF(COUNTA(G145:O145)=0,"",IFERROR(IF(K145="",0,CEILING(K145/'02_Capacity'!$E$25,1))+IF(L145="",0,CEILING(L145/'02_Capacity'!$E$20,1))+IF(M145="",0,CEILING(M145/'02_Capacity'!$E$20,1))+IF(N145="",0,CEILING(N145/'02_Capacity'!$E$20,1))+IF(O145="",0,CEILING(O145/'02_Capacity'!$E$20,1)),""))</f>
      </c>
      <c r="Q145" s="41" t="s">
        <v>20</v>
      </c>
      <c r="R145" s="38" t="s">
        <v>20</v>
      </c>
      <c r="S145" s="38" t="s">
        <v>20</v>
      </c>
      <c r="T145" s="38" t="s">
        <v>20</v>
      </c>
      <c r="U145" s="31"/>
      <c r="V145" s="31"/>
      <c r="W145" s="31"/>
      <c r="X145" s="31"/>
      <c r="Y145" s="31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9"/>
    </row>
    <row r="146" spans="1:36" x14ac:dyDescent="0.25">
      <c r="A146" s="36" t="s">
        <v>20</v>
      </c>
      <c r="B146" s="36" t="s">
        <v>20</v>
      </c>
      <c r="C146" s="36" t="s">
        <v>20</v>
      </c>
      <c r="D146" s="36" t="s">
        <v>20</v>
      </c>
      <c r="E146" s="36" t="s">
        <v>20</v>
      </c>
      <c r="F146" s="37" t="s">
        <v>20</v>
      </c>
      <c r="G146" s="38" t="s">
        <v>20</v>
      </c>
      <c r="H146" s="38" t="s">
        <v>20</v>
      </c>
      <c r="I146" s="38" t="s">
        <v>20</v>
      </c>
      <c r="J146" s="38" t="s">
        <v>20</v>
      </c>
      <c r="K146" s="39" t="s">
        <v>20</v>
      </c>
      <c r="L146" s="39" t="s">
        <v>20</v>
      </c>
      <c r="M146" s="39" t="s">
        <v>20</v>
      </c>
      <c r="N146" s="39" t="s">
        <v>20</v>
      </c>
      <c r="O146" s="39" t="s">
        <v>20</v>
      </c>
      <c r="P146" s="40">
        <f>IF(COUNTA(G146:O146)=0,"",IFERROR(IF(K146="",0,CEILING(K146/'02_Capacity'!$E$25,1))+IF(L146="",0,CEILING(L146/'02_Capacity'!$E$20,1))+IF(M146="",0,CEILING(M146/'02_Capacity'!$E$20,1))+IF(N146="",0,CEILING(N146/'02_Capacity'!$E$20,1))+IF(O146="",0,CEILING(O146/'02_Capacity'!$E$20,1)),""))</f>
      </c>
      <c r="Q146" s="41" t="s">
        <v>20</v>
      </c>
      <c r="R146" s="38" t="s">
        <v>20</v>
      </c>
      <c r="S146" s="38" t="s">
        <v>20</v>
      </c>
      <c r="T146" s="38" t="s">
        <v>20</v>
      </c>
      <c r="U146" s="31"/>
      <c r="V146" s="31"/>
      <c r="W146" s="31"/>
      <c r="X146" s="31"/>
      <c r="Y146" s="31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9"/>
    </row>
    <row r="147" spans="1:36" x14ac:dyDescent="0.25">
      <c r="A147" s="36" t="s">
        <v>20</v>
      </c>
      <c r="B147" s="36" t="s">
        <v>20</v>
      </c>
      <c r="C147" s="36" t="s">
        <v>20</v>
      </c>
      <c r="D147" s="36" t="s">
        <v>20</v>
      </c>
      <c r="E147" s="36" t="s">
        <v>20</v>
      </c>
      <c r="F147" s="37" t="s">
        <v>20</v>
      </c>
      <c r="G147" s="38" t="s">
        <v>20</v>
      </c>
      <c r="H147" s="38" t="s">
        <v>20</v>
      </c>
      <c r="I147" s="38" t="s">
        <v>20</v>
      </c>
      <c r="J147" s="38" t="s">
        <v>20</v>
      </c>
      <c r="K147" s="39" t="s">
        <v>20</v>
      </c>
      <c r="L147" s="39" t="s">
        <v>20</v>
      </c>
      <c r="M147" s="39" t="s">
        <v>20</v>
      </c>
      <c r="N147" s="39" t="s">
        <v>20</v>
      </c>
      <c r="O147" s="39" t="s">
        <v>20</v>
      </c>
      <c r="P147" s="40">
        <f>IF(COUNTA(G147:O147)=0,"",IFERROR(IF(K147="",0,CEILING(K147/'02_Capacity'!$E$25,1))+IF(L147="",0,CEILING(L147/'02_Capacity'!$E$20,1))+IF(M147="",0,CEILING(M147/'02_Capacity'!$E$20,1))+IF(N147="",0,CEILING(N147/'02_Capacity'!$E$20,1))+IF(O147="",0,CEILING(O147/'02_Capacity'!$E$20,1)),""))</f>
      </c>
      <c r="Q147" s="41" t="s">
        <v>20</v>
      </c>
      <c r="R147" s="38" t="s">
        <v>20</v>
      </c>
      <c r="S147" s="38" t="s">
        <v>20</v>
      </c>
      <c r="T147" s="38" t="s">
        <v>20</v>
      </c>
      <c r="U147" s="31"/>
      <c r="V147" s="31"/>
      <c r="W147" s="31"/>
      <c r="X147" s="31"/>
      <c r="Y147" s="31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9"/>
    </row>
    <row r="148" spans="1:36" x14ac:dyDescent="0.25">
      <c r="A148" s="36" t="s">
        <v>20</v>
      </c>
      <c r="B148" s="36" t="s">
        <v>20</v>
      </c>
      <c r="C148" s="36" t="s">
        <v>20</v>
      </c>
      <c r="D148" s="36" t="s">
        <v>20</v>
      </c>
      <c r="E148" s="36" t="s">
        <v>20</v>
      </c>
      <c r="F148" s="37" t="s">
        <v>20</v>
      </c>
      <c r="G148" s="38" t="s">
        <v>20</v>
      </c>
      <c r="H148" s="38" t="s">
        <v>20</v>
      </c>
      <c r="I148" s="38" t="s">
        <v>20</v>
      </c>
      <c r="J148" s="38" t="s">
        <v>20</v>
      </c>
      <c r="K148" s="39" t="s">
        <v>20</v>
      </c>
      <c r="L148" s="39" t="s">
        <v>20</v>
      </c>
      <c r="M148" s="39" t="s">
        <v>20</v>
      </c>
      <c r="N148" s="39" t="s">
        <v>20</v>
      </c>
      <c r="O148" s="39" t="s">
        <v>20</v>
      </c>
      <c r="P148" s="40">
        <f>IF(COUNTA(G148:O148)=0,"",IFERROR(IF(K148="",0,CEILING(K148/'02_Capacity'!$E$25,1))+IF(L148="",0,CEILING(L148/'02_Capacity'!$E$20,1))+IF(M148="",0,CEILING(M148/'02_Capacity'!$E$20,1))+IF(N148="",0,CEILING(N148/'02_Capacity'!$E$20,1))+IF(O148="",0,CEILING(O148/'02_Capacity'!$E$20,1)),""))</f>
      </c>
      <c r="Q148" s="41" t="s">
        <v>20</v>
      </c>
      <c r="R148" s="38" t="s">
        <v>20</v>
      </c>
      <c r="S148" s="38" t="s">
        <v>20</v>
      </c>
      <c r="T148" s="38" t="s">
        <v>20</v>
      </c>
      <c r="U148" s="31"/>
      <c r="V148" s="31"/>
      <c r="W148" s="31"/>
      <c r="X148" s="31"/>
      <c r="Y148" s="31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9"/>
    </row>
    <row r="149" spans="1:36" x14ac:dyDescent="0.25">
      <c r="A149" s="36" t="s">
        <v>20</v>
      </c>
      <c r="B149" s="36" t="s">
        <v>20</v>
      </c>
      <c r="C149" s="36" t="s">
        <v>20</v>
      </c>
      <c r="D149" s="36" t="s">
        <v>20</v>
      </c>
      <c r="E149" s="36" t="s">
        <v>20</v>
      </c>
      <c r="F149" s="37" t="s">
        <v>20</v>
      </c>
      <c r="G149" s="38" t="s">
        <v>20</v>
      </c>
      <c r="H149" s="38" t="s">
        <v>20</v>
      </c>
      <c r="I149" s="38" t="s">
        <v>20</v>
      </c>
      <c r="J149" s="38" t="s">
        <v>20</v>
      </c>
      <c r="K149" s="39" t="s">
        <v>20</v>
      </c>
      <c r="L149" s="39" t="s">
        <v>20</v>
      </c>
      <c r="M149" s="39" t="s">
        <v>20</v>
      </c>
      <c r="N149" s="39" t="s">
        <v>20</v>
      </c>
      <c r="O149" s="39" t="s">
        <v>20</v>
      </c>
      <c r="P149" s="40">
        <f>IF(COUNTA(G149:O149)=0,"",IFERROR(IF(K149="",0,CEILING(K149/'02_Capacity'!$E$25,1))+IF(L149="",0,CEILING(L149/'02_Capacity'!$E$20,1))+IF(M149="",0,CEILING(M149/'02_Capacity'!$E$20,1))+IF(N149="",0,CEILING(N149/'02_Capacity'!$E$20,1))+IF(O149="",0,CEILING(O149/'02_Capacity'!$E$20,1)),""))</f>
      </c>
      <c r="Q149" s="41" t="s">
        <v>20</v>
      </c>
      <c r="R149" s="38" t="s">
        <v>20</v>
      </c>
      <c r="S149" s="38" t="s">
        <v>20</v>
      </c>
      <c r="T149" s="38" t="s">
        <v>20</v>
      </c>
      <c r="U149" s="31"/>
      <c r="V149" s="31"/>
      <c r="W149" s="31"/>
      <c r="X149" s="31"/>
      <c r="Y149" s="31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9"/>
    </row>
    <row r="150" spans="1:36" x14ac:dyDescent="0.25">
      <c r="A150" s="36" t="s">
        <v>20</v>
      </c>
      <c r="B150" s="36" t="s">
        <v>20</v>
      </c>
      <c r="C150" s="36" t="s">
        <v>20</v>
      </c>
      <c r="D150" s="36" t="s">
        <v>20</v>
      </c>
      <c r="E150" s="36" t="s">
        <v>20</v>
      </c>
      <c r="F150" s="37" t="s">
        <v>20</v>
      </c>
      <c r="G150" s="38" t="s">
        <v>20</v>
      </c>
      <c r="H150" s="38" t="s">
        <v>20</v>
      </c>
      <c r="I150" s="38" t="s">
        <v>20</v>
      </c>
      <c r="J150" s="38" t="s">
        <v>20</v>
      </c>
      <c r="K150" s="39" t="s">
        <v>20</v>
      </c>
      <c r="L150" s="39" t="s">
        <v>20</v>
      </c>
      <c r="M150" s="39" t="s">
        <v>20</v>
      </c>
      <c r="N150" s="39" t="s">
        <v>20</v>
      </c>
      <c r="O150" s="39" t="s">
        <v>20</v>
      </c>
      <c r="P150" s="40">
        <f>IF(COUNTA(G150:O150)=0,"",IFERROR(IF(K150="",0,CEILING(K150/'02_Capacity'!$E$25,1))+IF(L150="",0,CEILING(L150/'02_Capacity'!$E$20,1))+IF(M150="",0,CEILING(M150/'02_Capacity'!$E$20,1))+IF(N150="",0,CEILING(N150/'02_Capacity'!$E$20,1))+IF(O150="",0,CEILING(O150/'02_Capacity'!$E$20,1)),""))</f>
      </c>
      <c r="Q150" s="41" t="s">
        <v>20</v>
      </c>
      <c r="R150" s="38" t="s">
        <v>20</v>
      </c>
      <c r="S150" s="38" t="s">
        <v>20</v>
      </c>
      <c r="T150" s="38" t="s">
        <v>20</v>
      </c>
      <c r="U150" s="31"/>
      <c r="V150" s="31"/>
      <c r="W150" s="31"/>
      <c r="X150" s="31"/>
      <c r="Y150" s="31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9"/>
    </row>
    <row r="151" spans="1:36" x14ac:dyDescent="0.25">
      <c r="A151" s="36" t="s">
        <v>20</v>
      </c>
      <c r="B151" s="36" t="s">
        <v>20</v>
      </c>
      <c r="C151" s="36" t="s">
        <v>20</v>
      </c>
      <c r="D151" s="36" t="s">
        <v>20</v>
      </c>
      <c r="E151" s="36" t="s">
        <v>20</v>
      </c>
      <c r="F151" s="37" t="s">
        <v>20</v>
      </c>
      <c r="G151" s="38" t="s">
        <v>20</v>
      </c>
      <c r="H151" s="38" t="s">
        <v>20</v>
      </c>
      <c r="I151" s="38" t="s">
        <v>20</v>
      </c>
      <c r="J151" s="38" t="s">
        <v>20</v>
      </c>
      <c r="K151" s="39" t="s">
        <v>20</v>
      </c>
      <c r="L151" s="39" t="s">
        <v>20</v>
      </c>
      <c r="M151" s="39" t="s">
        <v>20</v>
      </c>
      <c r="N151" s="39" t="s">
        <v>20</v>
      </c>
      <c r="O151" s="39" t="s">
        <v>20</v>
      </c>
      <c r="P151" s="40">
        <f>IF(COUNTA(G151:O151)=0,"",IFERROR(IF(K151="",0,CEILING(K151/'02_Capacity'!$E$25,1))+IF(L151="",0,CEILING(L151/'02_Capacity'!$E$20,1))+IF(M151="",0,CEILING(M151/'02_Capacity'!$E$20,1))+IF(N151="",0,CEILING(N151/'02_Capacity'!$E$20,1))+IF(O151="",0,CEILING(O151/'02_Capacity'!$E$20,1)),""))</f>
      </c>
      <c r="Q151" s="41" t="s">
        <v>20</v>
      </c>
      <c r="R151" s="38" t="s">
        <v>20</v>
      </c>
      <c r="S151" s="38" t="s">
        <v>20</v>
      </c>
      <c r="T151" s="38" t="s">
        <v>20</v>
      </c>
      <c r="U151" s="31"/>
      <c r="V151" s="31"/>
      <c r="W151" s="31"/>
      <c r="X151" s="31"/>
      <c r="Y151" s="31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9"/>
    </row>
    <row r="152" spans="1:36" x14ac:dyDescent="0.25">
      <c r="A152" s="36" t="s">
        <v>20</v>
      </c>
      <c r="B152" s="36" t="s">
        <v>20</v>
      </c>
      <c r="C152" s="36" t="s">
        <v>20</v>
      </c>
      <c r="D152" s="36" t="s">
        <v>20</v>
      </c>
      <c r="E152" s="36" t="s">
        <v>20</v>
      </c>
      <c r="F152" s="37" t="s">
        <v>20</v>
      </c>
      <c r="G152" s="38" t="s">
        <v>20</v>
      </c>
      <c r="H152" s="38" t="s">
        <v>20</v>
      </c>
      <c r="I152" s="38" t="s">
        <v>20</v>
      </c>
      <c r="J152" s="38" t="s">
        <v>20</v>
      </c>
      <c r="K152" s="39" t="s">
        <v>20</v>
      </c>
      <c r="L152" s="39" t="s">
        <v>20</v>
      </c>
      <c r="M152" s="39" t="s">
        <v>20</v>
      </c>
      <c r="N152" s="39" t="s">
        <v>20</v>
      </c>
      <c r="O152" s="39" t="s">
        <v>20</v>
      </c>
      <c r="P152" s="40">
        <f>IF(COUNTA(G152:O152)=0,"",IFERROR(IF(K152="",0,CEILING(K152/'02_Capacity'!$E$25,1))+IF(L152="",0,CEILING(L152/'02_Capacity'!$E$20,1))+IF(M152="",0,CEILING(M152/'02_Capacity'!$E$20,1))+IF(N152="",0,CEILING(N152/'02_Capacity'!$E$20,1))+IF(O152="",0,CEILING(O152/'02_Capacity'!$E$20,1)),""))</f>
      </c>
      <c r="Q152" s="41" t="s">
        <v>20</v>
      </c>
      <c r="R152" s="38" t="s">
        <v>20</v>
      </c>
      <c r="S152" s="38" t="s">
        <v>20</v>
      </c>
      <c r="T152" s="38" t="s">
        <v>20</v>
      </c>
      <c r="U152" s="31"/>
      <c r="V152" s="31"/>
      <c r="W152" s="31"/>
      <c r="X152" s="31"/>
      <c r="Y152" s="31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9"/>
    </row>
    <row r="153" spans="1:36" x14ac:dyDescent="0.25">
      <c r="A153" s="36" t="s">
        <v>20</v>
      </c>
      <c r="B153" s="36" t="s">
        <v>20</v>
      </c>
      <c r="C153" s="36" t="s">
        <v>20</v>
      </c>
      <c r="D153" s="36" t="s">
        <v>20</v>
      </c>
      <c r="E153" s="36" t="s">
        <v>20</v>
      </c>
      <c r="F153" s="37" t="s">
        <v>20</v>
      </c>
      <c r="G153" s="38" t="s">
        <v>20</v>
      </c>
      <c r="H153" s="38" t="s">
        <v>20</v>
      </c>
      <c r="I153" s="38" t="s">
        <v>20</v>
      </c>
      <c r="J153" s="38" t="s">
        <v>20</v>
      </c>
      <c r="K153" s="39" t="s">
        <v>20</v>
      </c>
      <c r="L153" s="39" t="s">
        <v>20</v>
      </c>
      <c r="M153" s="39" t="s">
        <v>20</v>
      </c>
      <c r="N153" s="39" t="s">
        <v>20</v>
      </c>
      <c r="O153" s="39" t="s">
        <v>20</v>
      </c>
      <c r="P153" s="40">
        <f>IF(COUNTA(G153:O153)=0,"",IFERROR(IF(K153="",0,CEILING(K153/'02_Capacity'!$E$25,1))+IF(L153="",0,CEILING(L153/'02_Capacity'!$E$20,1))+IF(M153="",0,CEILING(M153/'02_Capacity'!$E$20,1))+IF(N153="",0,CEILING(N153/'02_Capacity'!$E$20,1))+IF(O153="",0,CEILING(O153/'02_Capacity'!$E$20,1)),""))</f>
      </c>
      <c r="Q153" s="41" t="s">
        <v>20</v>
      </c>
      <c r="R153" s="38" t="s">
        <v>20</v>
      </c>
      <c r="S153" s="38" t="s">
        <v>20</v>
      </c>
      <c r="T153" s="38" t="s">
        <v>20</v>
      </c>
      <c r="U153" s="31"/>
      <c r="V153" s="31"/>
      <c r="W153" s="31"/>
      <c r="X153" s="31"/>
      <c r="Y153" s="31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9"/>
    </row>
    <row r="154" spans="1:36" x14ac:dyDescent="0.25">
      <c r="A154" s="36" t="s">
        <v>20</v>
      </c>
      <c r="B154" s="36" t="s">
        <v>20</v>
      </c>
      <c r="C154" s="36" t="s">
        <v>20</v>
      </c>
      <c r="D154" s="36" t="s">
        <v>20</v>
      </c>
      <c r="E154" s="36" t="s">
        <v>20</v>
      </c>
      <c r="F154" s="37" t="s">
        <v>20</v>
      </c>
      <c r="G154" s="38" t="s">
        <v>20</v>
      </c>
      <c r="H154" s="38" t="s">
        <v>20</v>
      </c>
      <c r="I154" s="38" t="s">
        <v>20</v>
      </c>
      <c r="J154" s="38" t="s">
        <v>20</v>
      </c>
      <c r="K154" s="39" t="s">
        <v>20</v>
      </c>
      <c r="L154" s="39" t="s">
        <v>20</v>
      </c>
      <c r="M154" s="39" t="s">
        <v>20</v>
      </c>
      <c r="N154" s="39" t="s">
        <v>20</v>
      </c>
      <c r="O154" s="39" t="s">
        <v>20</v>
      </c>
      <c r="P154" s="40">
        <f>IF(COUNTA(G154:O154)=0,"",IFERROR(IF(K154="",0,CEILING(K154/'02_Capacity'!$E$25,1))+IF(L154="",0,CEILING(L154/'02_Capacity'!$E$20,1))+IF(M154="",0,CEILING(M154/'02_Capacity'!$E$20,1))+IF(N154="",0,CEILING(N154/'02_Capacity'!$E$20,1))+IF(O154="",0,CEILING(O154/'02_Capacity'!$E$20,1)),""))</f>
      </c>
      <c r="Q154" s="41" t="s">
        <v>20</v>
      </c>
      <c r="R154" s="38" t="s">
        <v>20</v>
      </c>
      <c r="S154" s="38" t="s">
        <v>20</v>
      </c>
      <c r="T154" s="38" t="s">
        <v>20</v>
      </c>
      <c r="U154" s="31"/>
      <c r="V154" s="31"/>
      <c r="W154" s="31"/>
      <c r="X154" s="31"/>
      <c r="Y154" s="31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9"/>
    </row>
    <row r="155" spans="1:36" x14ac:dyDescent="0.25">
      <c r="A155" s="36" t="s">
        <v>20</v>
      </c>
      <c r="B155" s="36" t="s">
        <v>20</v>
      </c>
      <c r="C155" s="36" t="s">
        <v>20</v>
      </c>
      <c r="D155" s="36" t="s">
        <v>20</v>
      </c>
      <c r="E155" s="36" t="s">
        <v>20</v>
      </c>
      <c r="F155" s="37" t="s">
        <v>20</v>
      </c>
      <c r="G155" s="38" t="s">
        <v>20</v>
      </c>
      <c r="H155" s="38" t="s">
        <v>20</v>
      </c>
      <c r="I155" s="38" t="s">
        <v>20</v>
      </c>
      <c r="J155" s="38" t="s">
        <v>20</v>
      </c>
      <c r="K155" s="39" t="s">
        <v>20</v>
      </c>
      <c r="L155" s="39" t="s">
        <v>20</v>
      </c>
      <c r="M155" s="39" t="s">
        <v>20</v>
      </c>
      <c r="N155" s="39" t="s">
        <v>20</v>
      </c>
      <c r="O155" s="39" t="s">
        <v>20</v>
      </c>
      <c r="P155" s="40">
        <f>IF(COUNTA(G155:O155)=0,"",IFERROR(IF(K155="",0,CEILING(K155/'02_Capacity'!$E$25,1))+IF(L155="",0,CEILING(L155/'02_Capacity'!$E$20,1))+IF(M155="",0,CEILING(M155/'02_Capacity'!$E$20,1))+IF(N155="",0,CEILING(N155/'02_Capacity'!$E$20,1))+IF(O155="",0,CEILING(O155/'02_Capacity'!$E$20,1)),""))</f>
      </c>
      <c r="Q155" s="41" t="s">
        <v>20</v>
      </c>
      <c r="R155" s="38" t="s">
        <v>20</v>
      </c>
      <c r="S155" s="38" t="s">
        <v>20</v>
      </c>
      <c r="T155" s="38" t="s">
        <v>20</v>
      </c>
      <c r="U155" s="31"/>
      <c r="V155" s="31"/>
      <c r="W155" s="31"/>
      <c r="X155" s="31"/>
      <c r="Y155" s="31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9"/>
    </row>
  </sheetData>
  <mergeCells count="6">
    <mergeCell ref="A1:T1"/>
    <mergeCell ref="G2:G4"/>
    <mergeCell ref="Q2:Q4"/>
    <mergeCell ref="R2:R4"/>
    <mergeCell ref="A28:T28"/>
    <mergeCell ref="A53:T53"/>
  </mergeCells>
  <conditionalFormatting sqref="M6:O25">
    <cfRule type="expression" dxfId="0" priority="1">
      <formula>$S6="Готова аналитика"</formula>
    </cfRule>
  </conditionalFormatting>
  <conditionalFormatting sqref="O6:O25">
    <cfRule type="expression" dxfId="1" priority="2">
      <formula>$S6="Готова разработка"</formula>
    </cfRule>
  </conditionalFormatting>
  <conditionalFormatting sqref="N6:O25">
    <cfRule type="expression" dxfId="2" priority="3">
      <formula>$S6="Готова разработка (бэк)"</formula>
    </cfRule>
  </conditionalFormatting>
  <conditionalFormatting sqref="M6:M25">
    <cfRule type="expression" dxfId="3" priority="4">
      <formula>$S6="Готова разработка (фронт)"</formula>
    </cfRule>
  </conditionalFormatting>
  <conditionalFormatting sqref="O6:O25">
    <cfRule type="expression" dxfId="4" priority="5">
      <formula>$S6="Готова разработка (фронт)"</formula>
    </cfRule>
  </conditionalFormatting>
  <conditionalFormatting sqref="K6:O25">
    <cfRule type="expression" dxfId="5" priority="6">
      <formula>$S6="Отложено"</formula>
    </cfRule>
  </conditionalFormatting>
  <conditionalFormatting sqref="M31:O50">
    <cfRule type="expression" dxfId="6" priority="7">
      <formula>$S31="Готова аналитика"</formula>
    </cfRule>
  </conditionalFormatting>
  <conditionalFormatting sqref="O31:O50">
    <cfRule type="expression" dxfId="7" priority="8">
      <formula>$S31="Готова разработка"</formula>
    </cfRule>
  </conditionalFormatting>
  <conditionalFormatting sqref="N31:O50">
    <cfRule type="expression" dxfId="8" priority="9">
      <formula>$S31="Готова разработка (бэк)"</formula>
    </cfRule>
  </conditionalFormatting>
  <conditionalFormatting sqref="M31:M50">
    <cfRule type="expression" dxfId="9" priority="10">
      <formula>$S31="Готова разработка (фронт)"</formula>
    </cfRule>
  </conditionalFormatting>
  <conditionalFormatting sqref="O31:O50">
    <cfRule type="expression" dxfId="10" priority="11">
      <formula>$S31="Готова разработка (фронт)"</formula>
    </cfRule>
  </conditionalFormatting>
  <conditionalFormatting sqref="K31:O50">
    <cfRule type="expression" dxfId="11" priority="12">
      <formula>$S31="Отложено"</formula>
    </cfRule>
  </conditionalFormatting>
  <conditionalFormatting sqref="M56:O155">
    <cfRule type="expression" dxfId="12" priority="13">
      <formula>$S56="Готова аналитика"</formula>
    </cfRule>
  </conditionalFormatting>
  <conditionalFormatting sqref="O56:O155">
    <cfRule type="expression" dxfId="13" priority="14">
      <formula>$S56="Готова разработка"</formula>
    </cfRule>
  </conditionalFormatting>
  <conditionalFormatting sqref="N56:O155">
    <cfRule type="expression" dxfId="14" priority="15">
      <formula>$S56="Готова разработка (бэк)"</formula>
    </cfRule>
  </conditionalFormatting>
  <conditionalFormatting sqref="M56:M155">
    <cfRule type="expression" dxfId="15" priority="16">
      <formula>$S56="Готова разработка (фронт)"</formula>
    </cfRule>
  </conditionalFormatting>
  <conditionalFormatting sqref="O56:O155">
    <cfRule type="expression" dxfId="16" priority="17">
      <formula>$S56="Готова разработка (фронт)"</formula>
    </cfRule>
  </conditionalFormatting>
  <conditionalFormatting sqref="K56:O155">
    <cfRule type="expression" dxfId="17" priority="18">
      <formula>$S56="Отложено"</formula>
    </cfRule>
  </conditionalFormatting>
  <dataValidations count="15">
    <dataValidation type="whole" allowBlank="1" showErrorMessage="1" sqref="F10:F25">
      <formula1>1</formula1>
      <formula2>999</formula2>
    </dataValidation>
    <dataValidation type="whole" allowBlank="1" showErrorMessage="1" sqref="F100:F155">
      <formula1>1</formula1>
      <formula2>999</formula2>
    </dataValidation>
    <dataValidation type="whole" allowBlank="1" showErrorMessage="1" sqref="F31:F50">
      <formula1>1</formula1>
      <formula2>999</formula2>
    </dataValidation>
    <dataValidation type="whole" allowBlank="1" showErrorMessage="1" sqref="F56:F155">
      <formula1>1</formula1>
      <formula2>999</formula2>
    </dataValidation>
    <dataValidation type="whole" allowBlank="1" showErrorMessage="1" sqref="F6:F25">
      <formula1>1</formula1>
      <formula2>999</formula2>
    </dataValidation>
    <dataValidation type="decimal" allowBlank="1" showErrorMessage="1" sqref="K10:O25">
      <formula1>0</formula1>
      <formula2>999999</formula2>
    </dataValidation>
    <dataValidation type="decimal" allowBlank="1" showErrorMessage="1" sqref="K100:O155">
      <formula1>0</formula1>
      <formula2>999999</formula2>
    </dataValidation>
    <dataValidation type="decimal" allowBlank="1" showErrorMessage="1" sqref="K31:O50">
      <formula1>0</formula1>
      <formula2>999999</formula2>
    </dataValidation>
    <dataValidation type="decimal" allowBlank="1" showErrorMessage="1" sqref="K56:O155">
      <formula1>0</formula1>
      <formula2>999999</formula2>
    </dataValidation>
    <dataValidation type="decimal" allowBlank="1" showErrorMessage="1" sqref="K6:O25">
      <formula1>0</formula1>
      <formula2>999999</formula2>
    </dataValidation>
    <dataValidation type="list" allowBlank="1" showInputMessage="1" showErrorMessage="1" sqref="S10:S25">
      <formula1>"Готова аналитика,Готова разработка,Готова разработка (бэк),Готова разработка (фронт),Готово к релизу,ПРОМ,Отложено"</formula1>
    </dataValidation>
    <dataValidation type="list" allowBlank="1" showInputMessage="1" showErrorMessage="1" sqref="S100:S155">
      <formula1>"Готова аналитика,Готова разработка,Готова разработка (бэк),Готова разработка (фронт),Готово к релизу,ПРОМ,Отложено"</formula1>
    </dataValidation>
    <dataValidation type="list" allowBlank="1" showInputMessage="1" showErrorMessage="1" sqref="S31:S50">
      <formula1>"Готова аналитика,Готова разработка,Готова разработка (бэк),Готова разработка (фронт),Готово к релизу,ПРОМ,Отложено"</formula1>
    </dataValidation>
    <dataValidation type="list" allowBlank="1" showInputMessage="1" showErrorMessage="1" sqref="S56:S155">
      <formula1>"Готова аналитика,Готова разработка,Готова разработка (бэк),Готова разработка (фронт),Готово к релизу,ПРОМ,Отложено"</formula1>
    </dataValidation>
    <dataValidation type="list" allowBlank="1" showInputMessage="1" showErrorMessage="1" sqref="S6:S25">
      <formula1>"Готова аналитика,Готова разработка,Готова разработка (бэк),Готова разработка (фронт),Готово к релизу,ПРОМ,Отложено"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26.428571428571427" customWidth="1"/>
    <col min="2" max="2" width="37.857142857142854" customWidth="1"/>
    <col min="3" max="3" width="12.857142857142858" customWidth="1"/>
    <col min="4" max="4" width="11.428571428571429" customWidth="1"/>
    <col min="5" max="5" width="49.285714285714285" customWidth="1"/>
    <col min="6" max="6" width="5" customWidth="1"/>
    <col min="7" max="7" width="15" customWidth="1"/>
  </cols>
  <sheetData>
    <row r="1" spans="1:7" x14ac:dyDescent="0.25">
      <c r="A1" s="1" t="s">
        <v>182</v>
      </c>
      <c r="B1" s="1"/>
      <c r="C1" s="1"/>
      <c r="D1" s="1"/>
      <c r="E1" s="1"/>
      <c r="F1" s="1"/>
      <c r="G1" s="1"/>
    </row>
    <row r="3" spans="1:3" x14ac:dyDescent="0.25">
      <c r="A3" s="2" t="s">
        <v>183</v>
      </c>
      <c r="B3" s="2" t="s">
        <v>64</v>
      </c>
      <c r="C3" s="2" t="s">
        <v>184</v>
      </c>
    </row>
    <row r="4" spans="1:3" x14ac:dyDescent="0.25">
      <c r="A4" s="3" t="s">
        <v>118</v>
      </c>
      <c r="B4" s="3" t="s">
        <v>185</v>
      </c>
      <c r="C4" s="3">
        <v>1</v>
      </c>
    </row>
    <row r="5" spans="1:3" x14ac:dyDescent="0.25">
      <c r="A5" s="3" t="s">
        <v>117</v>
      </c>
      <c r="B5" s="3" t="s">
        <v>186</v>
      </c>
      <c r="C5" s="3">
        <v>1</v>
      </c>
    </row>
    <row r="6" spans="1:3" x14ac:dyDescent="0.25">
      <c r="A6" s="3" t="s">
        <v>119</v>
      </c>
      <c r="B6" s="3" t="s">
        <v>187</v>
      </c>
      <c r="C6" s="3">
        <v>2</v>
      </c>
    </row>
    <row r="7" spans="1:3" x14ac:dyDescent="0.25">
      <c r="A7" s="3" t="s">
        <v>120</v>
      </c>
      <c r="B7" s="3" t="s">
        <v>188</v>
      </c>
      <c r="C7" s="3">
        <v>3</v>
      </c>
    </row>
    <row r="8" spans="1:3" x14ac:dyDescent="0.25">
      <c r="A8" s="3" t="s">
        <v>121</v>
      </c>
      <c r="B8" s="3" t="s">
        <v>189</v>
      </c>
      <c r="C8" s="3">
        <v>4</v>
      </c>
    </row>
    <row r="11" spans="1:7" x14ac:dyDescent="0.25">
      <c r="A11" s="6" t="s">
        <v>190</v>
      </c>
      <c r="B11" s="6"/>
      <c r="C11" s="6"/>
      <c r="D11" s="6"/>
      <c r="E11" s="6"/>
      <c r="F11" s="6"/>
      <c r="G11" s="6"/>
    </row>
    <row r="13" spans="1:7" x14ac:dyDescent="0.25">
      <c r="A13" s="2" t="s">
        <v>191</v>
      </c>
      <c r="B13" s="2" t="s">
        <v>114</v>
      </c>
      <c r="C13" s="2"/>
      <c r="D13" s="2"/>
      <c r="E13" s="2"/>
      <c r="F13" s="2"/>
      <c r="G13" s="2"/>
    </row>
    <row r="14" spans="1:7" x14ac:dyDescent="0.25">
      <c r="A14" s="3" t="s">
        <v>192</v>
      </c>
      <c r="B14" s="3" t="s">
        <v>193</v>
      </c>
      <c r="C14" s="3"/>
      <c r="D14" s="3"/>
      <c r="E14" s="3"/>
      <c r="F14" s="3"/>
      <c r="G14" s="3"/>
    </row>
    <row r="15" spans="1:7" x14ac:dyDescent="0.25">
      <c r="A15" s="3" t="s">
        <v>194</v>
      </c>
      <c r="B15" s="3" t="s">
        <v>195</v>
      </c>
      <c r="C15" s="3"/>
      <c r="D15" s="3"/>
      <c r="E15" s="3"/>
      <c r="F15" s="3"/>
      <c r="G15" s="3"/>
    </row>
    <row r="16" spans="1:7" x14ac:dyDescent="0.25">
      <c r="A16" s="3" t="s">
        <v>196</v>
      </c>
      <c r="B16" s="3" t="s">
        <v>197</v>
      </c>
      <c r="C16" s="3"/>
      <c r="D16" s="3"/>
      <c r="E16" s="3"/>
      <c r="F16" s="3"/>
      <c r="G16" s="3"/>
    </row>
    <row r="17" spans="1:7" x14ac:dyDescent="0.25">
      <c r="A17" s="3" t="s">
        <v>198</v>
      </c>
      <c r="B17" s="3" t="s">
        <v>199</v>
      </c>
      <c r="C17" s="3"/>
      <c r="D17" s="3"/>
      <c r="E17" s="3"/>
      <c r="F17" s="3"/>
      <c r="G17" s="3"/>
    </row>
    <row r="18" spans="1:7" x14ac:dyDescent="0.25">
      <c r="A18" s="3" t="s">
        <v>159</v>
      </c>
      <c r="B18" s="3" t="s">
        <v>200</v>
      </c>
      <c r="C18" s="3"/>
      <c r="D18" s="3"/>
      <c r="E18" s="3"/>
      <c r="F18" s="3"/>
      <c r="G18" s="3"/>
    </row>
    <row r="19" spans="1:7" x14ac:dyDescent="0.25">
      <c r="A19" s="3" t="s">
        <v>201</v>
      </c>
      <c r="B19" s="3" t="s">
        <v>202</v>
      </c>
      <c r="C19" s="3"/>
      <c r="D19" s="3"/>
      <c r="E19" s="3"/>
      <c r="F19" s="3"/>
      <c r="G19" s="3"/>
    </row>
    <row r="20" spans="1:7" x14ac:dyDescent="0.25">
      <c r="A20" s="3" t="s">
        <v>203</v>
      </c>
      <c r="B20" s="3" t="s">
        <v>204</v>
      </c>
      <c r="C20" s="3"/>
      <c r="D20" s="3"/>
      <c r="E20" s="3"/>
      <c r="F20" s="3"/>
      <c r="G20" s="3"/>
    </row>
    <row r="21" spans="1:7" x14ac:dyDescent="0.25">
      <c r="A21" s="3" t="s">
        <v>205</v>
      </c>
      <c r="B21" s="3" t="s">
        <v>206</v>
      </c>
      <c r="C21" s="3"/>
      <c r="D21" s="3"/>
      <c r="E21" s="3"/>
      <c r="F21" s="3"/>
      <c r="G21" s="3"/>
    </row>
    <row r="22" spans="1:7" x14ac:dyDescent="0.25">
      <c r="A22" s="3" t="s">
        <v>207</v>
      </c>
      <c r="B22" s="3" t="s">
        <v>208</v>
      </c>
      <c r="C22" s="3"/>
      <c r="D22" s="3"/>
      <c r="E22" s="3"/>
      <c r="F22" s="3"/>
      <c r="G22" s="3"/>
    </row>
    <row r="23" spans="1:7" x14ac:dyDescent="0.25">
      <c r="A23" s="3" t="s">
        <v>209</v>
      </c>
      <c r="B23" s="3" t="s">
        <v>210</v>
      </c>
      <c r="C23" s="3"/>
      <c r="D23" s="3"/>
      <c r="E23" s="3"/>
      <c r="F23" s="3"/>
      <c r="G23" s="3"/>
    </row>
    <row r="24" spans="1:7" x14ac:dyDescent="0.25">
      <c r="A24" s="3" t="s">
        <v>211</v>
      </c>
      <c r="B24" s="3" t="s">
        <v>212</v>
      </c>
      <c r="C24" s="3"/>
      <c r="D24" s="3"/>
      <c r="E24" s="3"/>
      <c r="F24" s="3"/>
      <c r="G24" s="3"/>
    </row>
    <row r="25" spans="1:7" x14ac:dyDescent="0.25">
      <c r="A25" s="3" t="s">
        <v>213</v>
      </c>
      <c r="B25" s="3" t="s">
        <v>214</v>
      </c>
      <c r="C25" s="3"/>
      <c r="D25" s="3"/>
      <c r="E25" s="3"/>
      <c r="F25" s="3"/>
      <c r="G25" s="3"/>
    </row>
    <row r="26" spans="1:7" x14ac:dyDescent="0.25">
      <c r="A26" s="3" t="s">
        <v>215</v>
      </c>
      <c r="B26" s="3" t="s">
        <v>216</v>
      </c>
      <c r="C26" s="3"/>
      <c r="D26" s="3"/>
      <c r="E26" s="3"/>
      <c r="F26" s="3"/>
      <c r="G26" s="3"/>
    </row>
    <row r="27" spans="1:7" x14ac:dyDescent="0.25">
      <c r="A27" s="3" t="s">
        <v>217</v>
      </c>
      <c r="B27" s="3" t="s">
        <v>218</v>
      </c>
      <c r="C27" s="3"/>
      <c r="D27" s="3"/>
      <c r="E27" s="3"/>
      <c r="F27" s="3"/>
      <c r="G27" s="3"/>
    </row>
    <row r="28" spans="1:7" x14ac:dyDescent="0.25">
      <c r="A28" s="3" t="s">
        <v>219</v>
      </c>
      <c r="B28" s="3" t="s">
        <v>220</v>
      </c>
      <c r="C28" s="3"/>
      <c r="D28" s="3"/>
      <c r="E28" s="3"/>
      <c r="F28" s="3"/>
      <c r="G28" s="3"/>
    </row>
    <row r="29" spans="1:7" x14ac:dyDescent="0.25">
      <c r="A29" s="3" t="s">
        <v>221</v>
      </c>
      <c r="B29" s="3" t="s">
        <v>222</v>
      </c>
      <c r="C29" s="3"/>
      <c r="D29" s="3"/>
      <c r="E29" s="3"/>
      <c r="F29" s="3"/>
      <c r="G29" s="3"/>
    </row>
    <row r="30" spans="1:7" x14ac:dyDescent="0.25">
      <c r="A30" s="3" t="s">
        <v>223</v>
      </c>
      <c r="B30" s="3" t="s">
        <v>224</v>
      </c>
      <c r="C30" s="3"/>
      <c r="D30" s="3"/>
      <c r="E30" s="3"/>
      <c r="F30" s="3"/>
      <c r="G30" s="3"/>
    </row>
    <row r="31" spans="1:7" x14ac:dyDescent="0.25">
      <c r="A31" s="3" t="s">
        <v>225</v>
      </c>
      <c r="B31" s="3" t="s">
        <v>226</v>
      </c>
      <c r="C31" s="3"/>
      <c r="D31" s="3"/>
      <c r="E31" s="3"/>
      <c r="F31" s="3"/>
      <c r="G31" s="3"/>
    </row>
    <row r="32" spans="1:7" x14ac:dyDescent="0.25">
      <c r="A32" s="3" t="s">
        <v>227</v>
      </c>
      <c r="B32" s="3" t="s">
        <v>228</v>
      </c>
      <c r="C32" s="3"/>
      <c r="D32" s="3"/>
      <c r="E32" s="3"/>
      <c r="F32" s="3"/>
      <c r="G32" s="3"/>
    </row>
    <row r="33" spans="1:7" x14ac:dyDescent="0.25">
      <c r="A33" s="3" t="s">
        <v>229</v>
      </c>
      <c r="B33" s="3" t="s">
        <v>230</v>
      </c>
      <c r="C33" s="3"/>
      <c r="D33" s="3"/>
      <c r="E33" s="3"/>
      <c r="F33" s="3"/>
      <c r="G33" s="3"/>
    </row>
    <row r="35" spans="1:5" x14ac:dyDescent="0.25">
      <c r="A35" s="2" t="s">
        <v>231</v>
      </c>
      <c r="B35" s="2" t="s">
        <v>191</v>
      </c>
      <c r="C35" s="2" t="s">
        <v>2</v>
      </c>
      <c r="D35" s="2" t="s">
        <v>232</v>
      </c>
      <c r="E35" s="2" t="s">
        <v>114</v>
      </c>
    </row>
    <row r="36" spans="1:5" x14ac:dyDescent="0.25">
      <c r="A36" s="3" t="s">
        <v>233</v>
      </c>
      <c r="B36" s="3" t="s">
        <v>234</v>
      </c>
      <c r="C36" s="43">
        <v>5</v>
      </c>
      <c r="D36" s="3" t="s">
        <v>235</v>
      </c>
      <c r="E36" s="3" t="s">
        <v>236</v>
      </c>
    </row>
    <row r="37" spans="1:5" x14ac:dyDescent="0.25">
      <c r="A37" s="3" t="s">
        <v>237</v>
      </c>
      <c r="B37" s="3" t="s">
        <v>238</v>
      </c>
      <c r="C37" s="44">
        <v>0.5</v>
      </c>
      <c r="D37" s="3" t="s">
        <v>239</v>
      </c>
      <c r="E37" s="3" t="s">
        <v>240</v>
      </c>
    </row>
    <row r="38" spans="1:5" x14ac:dyDescent="0.25">
      <c r="A38" s="3" t="s">
        <v>241</v>
      </c>
      <c r="B38" s="3" t="s">
        <v>242</v>
      </c>
      <c r="C38" s="43">
        <v>5</v>
      </c>
      <c r="D38" s="3" t="s">
        <v>235</v>
      </c>
      <c r="E38" s="3" t="s">
        <v>243</v>
      </c>
    </row>
    <row r="39" spans="1:5" x14ac:dyDescent="0.25">
      <c r="A39" s="3" t="s">
        <v>244</v>
      </c>
      <c r="B39" s="3" t="s">
        <v>245</v>
      </c>
      <c r="C39" s="44">
        <v>0.5</v>
      </c>
      <c r="D39" s="3" t="s">
        <v>239</v>
      </c>
      <c r="E39" s="3" t="s">
        <v>246</v>
      </c>
    </row>
    <row r="40" spans="1:5" x14ac:dyDescent="0.25">
      <c r="A40" s="3" t="s">
        <v>247</v>
      </c>
      <c r="B40" s="3" t="s">
        <v>248</v>
      </c>
      <c r="C40" s="44">
        <v>0.5</v>
      </c>
      <c r="D40" s="3" t="s">
        <v>239</v>
      </c>
      <c r="E40" s="3" t="s">
        <v>249</v>
      </c>
    </row>
    <row r="41" spans="1:5" x14ac:dyDescent="0.25">
      <c r="A41" s="3" t="s">
        <v>250</v>
      </c>
      <c r="B41" s="3" t="s">
        <v>251</v>
      </c>
      <c r="C41" s="44">
        <v>0.2</v>
      </c>
      <c r="D41" s="3" t="s">
        <v>239</v>
      </c>
      <c r="E41" s="3" t="s">
        <v>252</v>
      </c>
    </row>
  </sheetData>
  <mergeCells count="23">
    <mergeCell ref="A1:G1"/>
    <mergeCell ref="A11:G11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2:G32"/>
    <mergeCell ref="B33:G33"/>
  </mergeCells>
  <dataValidations count="4">
    <dataValidation type="whole" allowBlank="1" showErrorMessage="1" sqref="C36">
      <formula1>0</formula1>
      <formula2>1000</formula2>
    </dataValidation>
    <dataValidation type="decimal" allowBlank="1" showErrorMessage="1" sqref="C37">
      <formula1>0</formula1>
      <formula2>1</formula2>
    </dataValidation>
    <dataValidation type="whole" allowBlank="1" showErrorMessage="1" sqref="C38">
      <formula1>0</formula1>
      <formula2>1000</formula2>
    </dataValidation>
    <dataValidation type="decimal" allowBlank="1" showErrorMessage="1" sqref="C39:C41">
      <formula1>0</formula1>
      <formula2>1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workbookViewId="0" zoomScale="100" zoomScaleNormal="100">
      <selection activeCell="F26" sqref="F26"/>
    </sheetView>
  </sheetViews>
  <sheetFormatPr defaultRowHeight="15" outlineLevelRow="0" outlineLevelCol="0" x14ac:dyDescent="0.2" defaultColWidth="8.83203125"/>
  <cols>
    <col min="1" max="3" width="4.5" customWidth="1"/>
    <col min="4" max="4" width="65.6640625" customWidth="1"/>
    <col min="5" max="11" width="11.83203125" customWidth="1"/>
    <col min="12" max="12" width="28.5" customWidth="1"/>
    <col min="13" max="13" width="29.33203125" customWidth="1"/>
    <col min="14" max="23" width="17.83203125" customWidth="1"/>
  </cols>
  <sheetData>
    <row r="1" spans="1:23" x14ac:dyDescent="0.25">
      <c r="A1" s="45" t="s">
        <v>253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 t="s">
        <v>20</v>
      </c>
      <c r="M1" s="47" t="s">
        <v>254</v>
      </c>
      <c r="N1" s="47" t="s">
        <v>20</v>
      </c>
      <c r="O1" s="47" t="s">
        <v>20</v>
      </c>
      <c r="P1" s="47" t="s">
        <v>20</v>
      </c>
      <c r="Q1" s="47" t="s">
        <v>20</v>
      </c>
      <c r="R1" s="46" t="s">
        <v>20</v>
      </c>
      <c r="S1" s="46" t="s">
        <v>20</v>
      </c>
      <c r="T1" s="46" t="s">
        <v>20</v>
      </c>
      <c r="U1" s="46" t="s">
        <v>20</v>
      </c>
      <c r="V1" s="46" t="s">
        <v>20</v>
      </c>
      <c r="W1" s="46" t="s">
        <v>20</v>
      </c>
    </row>
    <row r="2" spans="1:23" x14ac:dyDescent="0.25">
      <c r="A2" s="48" t="s">
        <v>20</v>
      </c>
      <c r="B2" s="49" t="s">
        <v>20</v>
      </c>
      <c r="C2" s="49" t="s">
        <v>20</v>
      </c>
      <c r="D2" s="50" t="s">
        <v>255</v>
      </c>
      <c r="E2" s="51" t="s">
        <v>20</v>
      </c>
      <c r="F2" s="51"/>
      <c r="G2" s="51"/>
      <c r="H2" s="51"/>
      <c r="I2" s="51"/>
      <c r="J2" s="51"/>
      <c r="K2" s="51"/>
      <c r="L2" s="49" t="s">
        <v>20</v>
      </c>
      <c r="M2" s="50" t="s">
        <v>256</v>
      </c>
      <c r="N2" s="52" t="s">
        <v>257</v>
      </c>
      <c r="O2" s="52"/>
      <c r="P2" s="52"/>
      <c r="Q2" s="52"/>
      <c r="R2" s="49" t="s">
        <v>20</v>
      </c>
      <c r="S2" s="49" t="s">
        <v>20</v>
      </c>
      <c r="T2" s="49" t="s">
        <v>20</v>
      </c>
      <c r="U2" s="49" t="s">
        <v>20</v>
      </c>
      <c r="V2" s="49" t="s">
        <v>20</v>
      </c>
      <c r="W2" s="49" t="s">
        <v>20</v>
      </c>
    </row>
    <row r="3" spans="1:23" x14ac:dyDescent="0.25">
      <c r="A3" s="53" t="s">
        <v>20</v>
      </c>
      <c r="B3" s="46" t="s">
        <v>20</v>
      </c>
      <c r="C3" s="46" t="s">
        <v>20</v>
      </c>
      <c r="D3" s="47" t="s">
        <v>258</v>
      </c>
      <c r="E3" s="54" t="s">
        <v>20</v>
      </c>
      <c r="F3" s="54"/>
      <c r="G3" s="54"/>
      <c r="H3" s="54"/>
      <c r="I3" s="54"/>
      <c r="J3" s="54"/>
      <c r="K3" s="54"/>
      <c r="L3" s="46" t="s">
        <v>20</v>
      </c>
      <c r="M3" s="47" t="s">
        <v>259</v>
      </c>
      <c r="N3" s="55" t="s">
        <v>260</v>
      </c>
      <c r="O3" s="55"/>
      <c r="P3" s="55"/>
      <c r="Q3" s="55"/>
      <c r="R3" s="46" t="s">
        <v>20</v>
      </c>
      <c r="S3" s="46" t="s">
        <v>20</v>
      </c>
      <c r="T3" s="46" t="s">
        <v>20</v>
      </c>
      <c r="U3" s="46" t="s">
        <v>20</v>
      </c>
      <c r="V3" s="46" t="s">
        <v>20</v>
      </c>
      <c r="W3" s="46" t="s">
        <v>20</v>
      </c>
    </row>
    <row r="4" spans="1:23" x14ac:dyDescent="0.25">
      <c r="A4" s="48" t="s">
        <v>20</v>
      </c>
      <c r="B4" s="49" t="s">
        <v>20</v>
      </c>
      <c r="C4" s="49" t="s">
        <v>20</v>
      </c>
      <c r="D4" s="50" t="s">
        <v>261</v>
      </c>
      <c r="E4" s="51" t="s">
        <v>20</v>
      </c>
      <c r="F4" s="51"/>
      <c r="G4" s="51"/>
      <c r="H4" s="51"/>
      <c r="I4" s="51"/>
      <c r="J4" s="51"/>
      <c r="K4" s="51"/>
      <c r="L4" s="49" t="s">
        <v>20</v>
      </c>
      <c r="M4" s="50" t="s">
        <v>262</v>
      </c>
      <c r="N4" s="52" t="s">
        <v>263</v>
      </c>
      <c r="O4" s="52"/>
      <c r="P4" s="52"/>
      <c r="Q4" s="52"/>
      <c r="R4" s="49" t="s">
        <v>20</v>
      </c>
      <c r="S4" s="49" t="s">
        <v>20</v>
      </c>
      <c r="T4" s="49" t="s">
        <v>20</v>
      </c>
      <c r="U4" s="49" t="s">
        <v>20</v>
      </c>
      <c r="V4" s="49" t="s">
        <v>20</v>
      </c>
      <c r="W4" s="49" t="s">
        <v>20</v>
      </c>
    </row>
    <row r="5" spans="1:23" x14ac:dyDescent="0.25">
      <c r="A5" s="53" t="s">
        <v>20</v>
      </c>
      <c r="B5" s="46" t="s">
        <v>20</v>
      </c>
      <c r="C5" s="46" t="s">
        <v>20</v>
      </c>
      <c r="D5" s="47" t="s">
        <v>264</v>
      </c>
      <c r="E5" s="47" t="s">
        <v>20</v>
      </c>
      <c r="F5" s="47"/>
      <c r="G5" s="47"/>
      <c r="H5" s="47"/>
      <c r="I5" s="47"/>
      <c r="J5" s="47"/>
      <c r="K5" s="47"/>
      <c r="L5" s="46" t="s">
        <v>20</v>
      </c>
      <c r="M5" s="47" t="s">
        <v>265</v>
      </c>
      <c r="N5" s="55" t="s">
        <v>266</v>
      </c>
      <c r="O5" s="55"/>
      <c r="P5" s="55"/>
      <c r="Q5" s="55"/>
      <c r="R5" s="46" t="s">
        <v>20</v>
      </c>
      <c r="S5" s="46" t="s">
        <v>20</v>
      </c>
      <c r="T5" s="46" t="s">
        <v>20</v>
      </c>
      <c r="U5" s="46" t="s">
        <v>20</v>
      </c>
      <c r="V5" s="46" t="s">
        <v>20</v>
      </c>
      <c r="W5" s="46" t="s">
        <v>20</v>
      </c>
    </row>
    <row r="6" spans="1:23" x14ac:dyDescent="0.25">
      <c r="A6" s="48" t="s">
        <v>20</v>
      </c>
      <c r="B6" s="49" t="s">
        <v>20</v>
      </c>
      <c r="C6" s="49" t="s">
        <v>20</v>
      </c>
      <c r="D6" s="50" t="s">
        <v>267</v>
      </c>
      <c r="E6" s="51" t="s">
        <v>20</v>
      </c>
      <c r="F6" s="51"/>
      <c r="G6" s="51"/>
      <c r="H6" s="51"/>
      <c r="I6" s="51"/>
      <c r="J6" s="51"/>
      <c r="K6" s="51"/>
      <c r="L6" s="49" t="s">
        <v>20</v>
      </c>
      <c r="M6" s="50" t="s">
        <v>268</v>
      </c>
      <c r="N6" s="52" t="s">
        <v>269</v>
      </c>
      <c r="O6" s="52"/>
      <c r="P6" s="52"/>
      <c r="Q6" s="52"/>
      <c r="R6" s="49" t="s">
        <v>20</v>
      </c>
      <c r="S6" s="49" t="s">
        <v>20</v>
      </c>
      <c r="T6" s="49" t="s">
        <v>20</v>
      </c>
      <c r="U6" s="49" t="s">
        <v>20</v>
      </c>
      <c r="V6" s="49" t="s">
        <v>20</v>
      </c>
      <c r="W6" s="49" t="s">
        <v>20</v>
      </c>
    </row>
    <row r="7" spans="1:23" x14ac:dyDescent="0.25">
      <c r="A7" s="53" t="s">
        <v>20</v>
      </c>
      <c r="B7" s="46" t="s">
        <v>20</v>
      </c>
      <c r="C7" s="46" t="s">
        <v>20</v>
      </c>
      <c r="D7" s="47" t="s">
        <v>270</v>
      </c>
      <c r="E7" s="54" t="s">
        <v>20</v>
      </c>
      <c r="F7" s="54"/>
      <c r="G7" s="54"/>
      <c r="H7" s="54"/>
      <c r="I7" s="54"/>
      <c r="J7" s="54"/>
      <c r="K7" s="54"/>
      <c r="L7" s="46" t="s">
        <v>20</v>
      </c>
      <c r="M7" s="56" t="s">
        <v>20</v>
      </c>
      <c r="N7" s="56" t="s">
        <v>20</v>
      </c>
      <c r="O7" s="56" t="s">
        <v>20</v>
      </c>
      <c r="P7" s="56" t="s">
        <v>20</v>
      </c>
      <c r="Q7" s="56" t="s">
        <v>20</v>
      </c>
      <c r="R7" s="46" t="s">
        <v>20</v>
      </c>
      <c r="S7" s="46" t="s">
        <v>20</v>
      </c>
      <c r="T7" s="46" t="s">
        <v>20</v>
      </c>
      <c r="U7" s="46" t="s">
        <v>20</v>
      </c>
      <c r="V7" s="46" t="s">
        <v>20</v>
      </c>
      <c r="W7" s="46" t="s">
        <v>20</v>
      </c>
    </row>
    <row r="8" spans="1:23" x14ac:dyDescent="0.25">
      <c r="A8" s="48" t="s">
        <v>20</v>
      </c>
      <c r="B8" s="49" t="s">
        <v>20</v>
      </c>
      <c r="C8" s="49" t="s">
        <v>20</v>
      </c>
      <c r="D8" s="50" t="s">
        <v>271</v>
      </c>
      <c r="E8" s="51" t="s">
        <v>20</v>
      </c>
      <c r="F8" s="51"/>
      <c r="G8" s="51"/>
      <c r="H8" s="51"/>
      <c r="I8" s="51"/>
      <c r="J8" s="51"/>
      <c r="K8" s="51"/>
      <c r="L8" s="49" t="s">
        <v>20</v>
      </c>
      <c r="M8" s="49" t="s">
        <v>20</v>
      </c>
      <c r="N8" s="49" t="s">
        <v>20</v>
      </c>
      <c r="O8" s="49" t="s">
        <v>20</v>
      </c>
      <c r="P8" s="49" t="s">
        <v>20</v>
      </c>
      <c r="Q8" s="49" t="s">
        <v>20</v>
      </c>
      <c r="R8" s="49" t="s">
        <v>20</v>
      </c>
      <c r="S8" s="49" t="s">
        <v>20</v>
      </c>
      <c r="T8" s="49" t="s">
        <v>20</v>
      </c>
      <c r="U8" s="49" t="s">
        <v>20</v>
      </c>
      <c r="V8" s="49" t="s">
        <v>20</v>
      </c>
      <c r="W8" s="49" t="s">
        <v>20</v>
      </c>
    </row>
    <row r="9" spans="1:23" x14ac:dyDescent="0.25">
      <c r="A9" s="53" t="s">
        <v>20</v>
      </c>
      <c r="B9" s="46" t="s">
        <v>20</v>
      </c>
      <c r="C9" s="46" t="s">
        <v>20</v>
      </c>
      <c r="D9" s="47" t="s">
        <v>272</v>
      </c>
      <c r="E9" s="54" t="s">
        <v>20</v>
      </c>
      <c r="F9" s="54"/>
      <c r="G9" s="54"/>
      <c r="H9" s="54"/>
      <c r="I9" s="54"/>
      <c r="J9" s="54"/>
      <c r="K9" s="54"/>
      <c r="L9" s="46" t="s">
        <v>20</v>
      </c>
      <c r="M9" s="46" t="s">
        <v>20</v>
      </c>
      <c r="N9" s="46" t="s">
        <v>20</v>
      </c>
      <c r="O9" s="46" t="s">
        <v>20</v>
      </c>
      <c r="P9" s="46" t="s">
        <v>20</v>
      </c>
      <c r="Q9" s="46" t="s">
        <v>20</v>
      </c>
      <c r="R9" s="46" t="s">
        <v>20</v>
      </c>
      <c r="S9" s="46" t="s">
        <v>20</v>
      </c>
      <c r="T9" s="46" t="s">
        <v>20</v>
      </c>
      <c r="U9" s="46" t="s">
        <v>20</v>
      </c>
      <c r="V9" s="46" t="s">
        <v>20</v>
      </c>
      <c r="W9" s="46" t="s">
        <v>20</v>
      </c>
    </row>
    <row r="10" spans="1:23" x14ac:dyDescent="0.25">
      <c r="A10" s="48" t="s">
        <v>20</v>
      </c>
      <c r="B10" s="49" t="s">
        <v>20</v>
      </c>
      <c r="C10" s="49" t="s">
        <v>20</v>
      </c>
      <c r="D10" s="50" t="s">
        <v>273</v>
      </c>
      <c r="E10" s="51" t="s">
        <v>20</v>
      </c>
      <c r="F10" s="51"/>
      <c r="G10" s="51"/>
      <c r="H10" s="51"/>
      <c r="I10" s="51"/>
      <c r="J10" s="51"/>
      <c r="K10" s="51"/>
      <c r="L10" s="49" t="s">
        <v>20</v>
      </c>
      <c r="M10" s="49" t="s">
        <v>20</v>
      </c>
      <c r="N10" s="49" t="s">
        <v>20</v>
      </c>
      <c r="O10" s="49" t="s">
        <v>20</v>
      </c>
      <c r="P10" s="49" t="s">
        <v>20</v>
      </c>
      <c r="Q10" s="49" t="s">
        <v>20</v>
      </c>
      <c r="R10" s="49" t="s">
        <v>20</v>
      </c>
      <c r="S10" s="49" t="s">
        <v>20</v>
      </c>
      <c r="T10" s="49" t="s">
        <v>20</v>
      </c>
      <c r="U10" s="49" t="s">
        <v>20</v>
      </c>
      <c r="V10" s="49" t="s">
        <v>20</v>
      </c>
      <c r="W10" s="49" t="s">
        <v>20</v>
      </c>
    </row>
    <row r="11" spans="1:23" x14ac:dyDescent="0.25">
      <c r="A11" s="53" t="s">
        <v>20</v>
      </c>
      <c r="B11" s="46" t="s">
        <v>20</v>
      </c>
      <c r="C11" s="46" t="s">
        <v>20</v>
      </c>
      <c r="D11" s="47" t="s">
        <v>274</v>
      </c>
      <c r="E11" s="54" t="s">
        <v>20</v>
      </c>
      <c r="F11" s="54"/>
      <c r="G11" s="54"/>
      <c r="H11" s="54"/>
      <c r="I11" s="54"/>
      <c r="J11" s="54"/>
      <c r="K11" s="54"/>
      <c r="L11" s="46" t="s">
        <v>20</v>
      </c>
      <c r="M11" s="46" t="s">
        <v>20</v>
      </c>
      <c r="N11" s="46" t="s">
        <v>20</v>
      </c>
      <c r="O11" s="46" t="s">
        <v>20</v>
      </c>
      <c r="P11" s="46" t="s">
        <v>20</v>
      </c>
      <c r="Q11" s="46" t="s">
        <v>20</v>
      </c>
      <c r="R11" s="46" t="s">
        <v>20</v>
      </c>
      <c r="S11" s="46" t="s">
        <v>20</v>
      </c>
      <c r="T11" s="46" t="s">
        <v>20</v>
      </c>
      <c r="U11" s="46" t="s">
        <v>20</v>
      </c>
      <c r="V11" s="46" t="s">
        <v>20</v>
      </c>
      <c r="W11" s="46" t="s">
        <v>20</v>
      </c>
    </row>
    <row r="12" spans="1:23" x14ac:dyDescent="0.25">
      <c r="A12" s="48" t="s">
        <v>20</v>
      </c>
      <c r="B12" s="49" t="s">
        <v>20</v>
      </c>
      <c r="C12" s="49" t="s">
        <v>20</v>
      </c>
      <c r="D12" s="50" t="s">
        <v>275</v>
      </c>
      <c r="E12" s="51" t="s">
        <v>20</v>
      </c>
      <c r="F12" s="51"/>
      <c r="G12" s="51"/>
      <c r="H12" s="51"/>
      <c r="I12" s="51"/>
      <c r="J12" s="51"/>
      <c r="K12" s="51"/>
      <c r="L12" s="49" t="s">
        <v>20</v>
      </c>
      <c r="M12" s="49" t="s">
        <v>20</v>
      </c>
      <c r="N12" s="49" t="s">
        <v>20</v>
      </c>
      <c r="O12" s="49" t="s">
        <v>20</v>
      </c>
      <c r="P12" s="49" t="s">
        <v>20</v>
      </c>
      <c r="Q12" s="49" t="s">
        <v>20</v>
      </c>
      <c r="R12" s="49" t="s">
        <v>20</v>
      </c>
      <c r="S12" s="49" t="s">
        <v>20</v>
      </c>
      <c r="T12" s="49" t="s">
        <v>20</v>
      </c>
      <c r="U12" s="49" t="s">
        <v>20</v>
      </c>
      <c r="V12" s="49" t="s">
        <v>20</v>
      </c>
      <c r="W12" s="49" t="s">
        <v>20</v>
      </c>
    </row>
    <row r="13" spans="1:23" x14ac:dyDescent="0.25">
      <c r="A13" s="53" t="s">
        <v>20</v>
      </c>
      <c r="B13" s="46" t="s">
        <v>20</v>
      </c>
      <c r="C13" s="46" t="s">
        <v>20</v>
      </c>
      <c r="D13" s="47" t="s">
        <v>276</v>
      </c>
      <c r="E13" s="54" t="s">
        <v>20</v>
      </c>
      <c r="F13" s="54"/>
      <c r="G13" s="54"/>
      <c r="H13" s="54"/>
      <c r="I13" s="54"/>
      <c r="J13" s="54"/>
      <c r="K13" s="54"/>
      <c r="L13" s="46" t="s">
        <v>20</v>
      </c>
      <c r="M13" s="46" t="s">
        <v>20</v>
      </c>
      <c r="N13" s="46" t="s">
        <v>20</v>
      </c>
      <c r="O13" s="46" t="s">
        <v>20</v>
      </c>
      <c r="P13" s="46" t="s">
        <v>20</v>
      </c>
      <c r="Q13" s="46" t="s">
        <v>20</v>
      </c>
      <c r="R13" s="46" t="s">
        <v>20</v>
      </c>
      <c r="S13" s="46" t="s">
        <v>20</v>
      </c>
      <c r="T13" s="46" t="s">
        <v>20</v>
      </c>
      <c r="U13" s="46" t="s">
        <v>20</v>
      </c>
      <c r="V13" s="46" t="s">
        <v>20</v>
      </c>
      <c r="W13" s="46" t="s">
        <v>20</v>
      </c>
    </row>
    <row r="14" spans="1:23" x14ac:dyDescent="0.25">
      <c r="A14" s="57" t="s">
        <v>20</v>
      </c>
      <c r="B14" s="58" t="s">
        <v>20</v>
      </c>
      <c r="C14" s="58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s="58" t="s">
        <v>20</v>
      </c>
      <c r="M14" s="49" t="s">
        <v>20</v>
      </c>
      <c r="N14" s="49" t="s">
        <v>20</v>
      </c>
      <c r="O14" s="49" t="s">
        <v>20</v>
      </c>
      <c r="P14" s="58" t="s">
        <v>20</v>
      </c>
      <c r="Q14" s="58" t="s">
        <v>20</v>
      </c>
      <c r="R14" s="58" t="s">
        <v>20</v>
      </c>
      <c r="S14" s="58" t="s">
        <v>20</v>
      </c>
      <c r="T14" s="58" t="s">
        <v>20</v>
      </c>
      <c r="U14" s="58" t="s">
        <v>20</v>
      </c>
      <c r="V14" s="58" t="s">
        <v>20</v>
      </c>
      <c r="W14" s="58" t="s">
        <v>20</v>
      </c>
    </row>
    <row r="15" spans="1:23" x14ac:dyDescent="0.25">
      <c r="A15" s="55" t="s">
        <v>277</v>
      </c>
      <c r="B15" s="55"/>
      <c r="C15" s="55"/>
      <c r="D15" s="55"/>
      <c r="E15" s="54" t="s">
        <v>112</v>
      </c>
      <c r="F15" s="54" t="s">
        <v>278</v>
      </c>
      <c r="G15" s="54" t="s">
        <v>279</v>
      </c>
      <c r="H15" s="54"/>
      <c r="I15" s="54"/>
      <c r="J15" s="54"/>
      <c r="K15" s="54"/>
      <c r="L15" s="47" t="s">
        <v>20</v>
      </c>
      <c r="M15" s="46" t="s">
        <v>20</v>
      </c>
      <c r="N15" s="59" t="s">
        <v>20</v>
      </c>
      <c r="O15" s="46" t="s">
        <v>20</v>
      </c>
      <c r="P15" s="60" t="s">
        <v>280</v>
      </c>
      <c r="Q15" s="60" t="s">
        <v>20</v>
      </c>
      <c r="R15" s="60" t="s">
        <v>20</v>
      </c>
      <c r="S15" s="60" t="s">
        <v>20</v>
      </c>
      <c r="T15" s="60" t="s">
        <v>20</v>
      </c>
      <c r="U15" s="60" t="s">
        <v>20</v>
      </c>
      <c r="V15" s="60" t="s">
        <v>20</v>
      </c>
      <c r="W15" s="60" t="s">
        <v>20</v>
      </c>
    </row>
    <row r="16" spans="1:23" x14ac:dyDescent="0.25">
      <c r="A16" s="55"/>
      <c r="B16" s="55"/>
      <c r="C16" s="55"/>
      <c r="D16" s="55"/>
      <c r="E16" s="54"/>
      <c r="F16" s="54"/>
      <c r="G16" s="50" t="s">
        <v>118</v>
      </c>
      <c r="H16" s="50" t="s">
        <v>281</v>
      </c>
      <c r="I16" s="50" t="s">
        <v>119</v>
      </c>
      <c r="J16" s="50" t="s">
        <v>120</v>
      </c>
      <c r="K16" s="50" t="s">
        <v>121</v>
      </c>
      <c r="L16" s="50" t="s">
        <v>282</v>
      </c>
      <c r="M16" s="49" t="s">
        <v>20</v>
      </c>
      <c r="N16" s="61" t="s">
        <v>283</v>
      </c>
      <c r="O16" s="49" t="s">
        <v>20</v>
      </c>
      <c r="P16" s="61" t="s">
        <v>185</v>
      </c>
      <c r="Q16" s="61" t="s">
        <v>281</v>
      </c>
      <c r="R16" s="61" t="s">
        <v>119</v>
      </c>
      <c r="S16" s="61" t="s">
        <v>120</v>
      </c>
      <c r="T16" s="61" t="s">
        <v>121</v>
      </c>
      <c r="U16" s="61" t="s">
        <v>284</v>
      </c>
      <c r="V16" s="61" t="s">
        <v>285</v>
      </c>
      <c r="W16" s="61" t="s">
        <v>286</v>
      </c>
    </row>
    <row r="17" spans="1:23" x14ac:dyDescent="0.25">
      <c r="A17" s="55" t="s">
        <v>287</v>
      </c>
      <c r="B17" s="55"/>
      <c r="C17" s="55"/>
      <c r="D17" s="55"/>
      <c r="E17" s="47" t="s">
        <v>20</v>
      </c>
      <c r="F17" s="47" t="s">
        <v>20</v>
      </c>
      <c r="G17" s="47">
        <f>G18+G21</f>
        <v>10</v>
      </c>
      <c r="H17" s="47">
        <f t="shared" ref="H17:J17" si="0">H18+H21</f>
        <v>10</v>
      </c>
      <c r="I17" s="47">
        <f t="shared" si="0"/>
        <v>10</v>
      </c>
      <c r="J17" s="47">
        <f t="shared" si="0"/>
        <v>10</v>
      </c>
      <c r="K17" s="47">
        <f>K18+K21</f>
        <v>10</v>
      </c>
      <c r="L17" s="47" t="s">
        <v>20</v>
      </c>
      <c r="M17" s="46" t="s">
        <v>20</v>
      </c>
      <c r="N17" s="60" t="s">
        <v>288</v>
      </c>
      <c r="O17" s="46" t="s">
        <v>20</v>
      </c>
      <c r="P17" s="60">
        <f>ROUNDUP(G17/8,0)</f>
        <v>2</v>
      </c>
      <c r="Q17" s="60">
        <f t="shared" ref="Q17:T17" si="1">ROUNDUP(H17/8,0)</f>
        <v>2</v>
      </c>
      <c r="R17" s="60">
        <f t="shared" si="1"/>
        <v>2</v>
      </c>
      <c r="S17" s="60">
        <f t="shared" si="1"/>
        <v>2</v>
      </c>
      <c r="T17" s="60">
        <f t="shared" si="1"/>
        <v>2</v>
      </c>
      <c r="U17" s="60">
        <f>ROUNDUP(N19/8,0)</f>
        <v>4</v>
      </c>
      <c r="V17" s="60"/>
      <c r="W17" s="60">
        <f>ROUNDUP(N17/8,0)</f>
        <v>1</v>
      </c>
    </row>
    <row r="18" spans="1:23" x14ac:dyDescent="0.25">
      <c r="A18" s="50" t="s">
        <v>20</v>
      </c>
      <c r="B18" s="52" t="s">
        <v>289</v>
      </c>
      <c r="C18" s="52"/>
      <c r="D18" s="52"/>
      <c r="E18" s="50" t="s">
        <v>20</v>
      </c>
      <c r="F18" s="50" t="s">
        <v>20</v>
      </c>
      <c r="G18" s="50">
        <f>SUM(G19:G20)</f>
        <v>3</v>
      </c>
      <c r="H18" s="50">
        <f t="shared" ref="H18:K18" si="2">SUM(H19:H20)</f>
        <v>3</v>
      </c>
      <c r="I18" s="50">
        <f t="shared" si="2"/>
        <v>3</v>
      </c>
      <c r="J18" s="50">
        <f t="shared" si="2"/>
        <v>3</v>
      </c>
      <c r="K18" s="50">
        <f t="shared" si="2"/>
        <v>3</v>
      </c>
      <c r="L18" s="50" t="s">
        <v>20</v>
      </c>
      <c r="M18" s="49" t="s">
        <v>20</v>
      </c>
      <c r="N18" s="62" t="s">
        <v>290</v>
      </c>
      <c r="O18" s="49" t="s">
        <v>20</v>
      </c>
      <c r="P18" s="62" t="s">
        <v>20</v>
      </c>
      <c r="Q18" s="62" t="s">
        <v>20</v>
      </c>
      <c r="R18" s="62" t="s">
        <v>20</v>
      </c>
      <c r="S18" s="62" t="s">
        <v>20</v>
      </c>
      <c r="T18" s="62" t="s">
        <v>20</v>
      </c>
      <c r="U18" s="62" t="s">
        <v>20</v>
      </c>
      <c r="V18" s="62" t="s">
        <v>20</v>
      </c>
      <c r="W18" s="62" t="s">
        <v>20</v>
      </c>
    </row>
    <row r="19" spans="1:23" x14ac:dyDescent="0.25">
      <c r="A19" s="50" t="s">
        <v>20</v>
      </c>
      <c r="B19" s="50" t="s">
        <v>20</v>
      </c>
      <c r="C19" s="52" t="s">
        <v>291</v>
      </c>
      <c r="D19" s="52"/>
      <c r="E19" s="50" t="s">
        <v>20</v>
      </c>
      <c r="F19" s="50" t="s">
        <v>20</v>
      </c>
      <c r="G19" s="50">
        <v>1</v>
      </c>
      <c r="H19" s="50">
        <v>1</v>
      </c>
      <c r="I19" s="50">
        <v>1</v>
      </c>
      <c r="J19" s="50">
        <v>1</v>
      </c>
      <c r="K19" s="50">
        <v>1</v>
      </c>
      <c r="L19" s="50" t="s">
        <v>20</v>
      </c>
      <c r="M19" s="49" t="s">
        <v>20</v>
      </c>
      <c r="N19" s="49" t="s">
        <v>292</v>
      </c>
      <c r="O19" s="49" t="s">
        <v>20</v>
      </c>
      <c r="P19" s="49" t="s">
        <v>20</v>
      </c>
      <c r="Q19" s="49" t="s">
        <v>20</v>
      </c>
      <c r="R19" s="49" t="s">
        <v>20</v>
      </c>
      <c r="S19" s="49" t="s">
        <v>20</v>
      </c>
      <c r="T19" s="49" t="s">
        <v>20</v>
      </c>
      <c r="U19" s="49" t="s">
        <v>20</v>
      </c>
      <c r="V19" s="49" t="s">
        <v>20</v>
      </c>
      <c r="W19" s="49" t="s">
        <v>20</v>
      </c>
    </row>
    <row r="20" spans="1:23" x14ac:dyDescent="0.25">
      <c r="A20" s="47" t="s">
        <v>20</v>
      </c>
      <c r="B20" s="47" t="s">
        <v>20</v>
      </c>
      <c r="C20" s="55" t="s">
        <v>293</v>
      </c>
      <c r="D20" s="55"/>
      <c r="E20" s="47" t="s">
        <v>20</v>
      </c>
      <c r="F20" s="47" t="s">
        <v>20</v>
      </c>
      <c r="G20" s="47">
        <v>2</v>
      </c>
      <c r="H20" s="47">
        <v>2</v>
      </c>
      <c r="I20" s="47">
        <v>2</v>
      </c>
      <c r="J20" s="47">
        <v>2</v>
      </c>
      <c r="K20" s="47">
        <v>2</v>
      </c>
      <c r="L20" s="47" t="s">
        <v>20</v>
      </c>
      <c r="M20" s="46" t="s">
        <v>20</v>
      </c>
      <c r="N20" s="46" t="s">
        <v>20</v>
      </c>
      <c r="O20" s="46" t="s">
        <v>20</v>
      </c>
      <c r="P20" s="46" t="s">
        <v>20</v>
      </c>
      <c r="Q20" s="46" t="s">
        <v>20</v>
      </c>
      <c r="R20" s="46" t="s">
        <v>20</v>
      </c>
      <c r="S20" s="46" t="s">
        <v>20</v>
      </c>
      <c r="T20" s="46" t="s">
        <v>20</v>
      </c>
      <c r="U20" s="46" t="s">
        <v>20</v>
      </c>
      <c r="V20" s="46" t="s">
        <v>20</v>
      </c>
      <c r="W20" s="46" t="s">
        <v>20</v>
      </c>
    </row>
    <row r="21" spans="1:12" x14ac:dyDescent="0.25">
      <c r="A21" s="50"/>
      <c r="B21" s="52" t="s">
        <v>289</v>
      </c>
      <c r="C21" s="52"/>
      <c r="D21" s="52"/>
      <c r="E21" s="50" t="s">
        <v>20</v>
      </c>
      <c r="F21" s="50" t="s">
        <v>20</v>
      </c>
      <c r="G21" s="50">
        <f>SUM(G22:G23)</f>
        <v>7</v>
      </c>
      <c r="H21" s="50">
        <f t="shared" ref="H21:K21" si="3">SUM(H22:H23)</f>
        <v>7</v>
      </c>
      <c r="I21" s="50">
        <f t="shared" si="3"/>
        <v>7</v>
      </c>
      <c r="J21" s="50">
        <f t="shared" si="3"/>
        <v>7</v>
      </c>
      <c r="K21" s="50">
        <f t="shared" si="3"/>
        <v>7</v>
      </c>
      <c r="L21" s="50"/>
    </row>
    <row r="22" spans="1:12" x14ac:dyDescent="0.25">
      <c r="A22" s="50"/>
      <c r="B22" s="50" t="s">
        <v>20</v>
      </c>
      <c r="C22" s="52" t="s">
        <v>291</v>
      </c>
      <c r="D22" s="52"/>
      <c r="E22" s="50" t="s">
        <v>20</v>
      </c>
      <c r="F22" s="50" t="s">
        <v>20</v>
      </c>
      <c r="G22" s="50">
        <v>3</v>
      </c>
      <c r="H22" s="50">
        <v>3</v>
      </c>
      <c r="I22" s="50">
        <v>3</v>
      </c>
      <c r="J22" s="50">
        <v>3</v>
      </c>
      <c r="K22" s="50">
        <v>3</v>
      </c>
      <c r="L22" s="50"/>
    </row>
    <row r="23" spans="1:12" x14ac:dyDescent="0.25">
      <c r="A23" s="50"/>
      <c r="B23" s="47" t="s">
        <v>20</v>
      </c>
      <c r="C23" s="55" t="s">
        <v>293</v>
      </c>
      <c r="D23" s="55"/>
      <c r="E23" s="47" t="s">
        <v>20</v>
      </c>
      <c r="F23" s="47" t="s">
        <v>20</v>
      </c>
      <c r="G23" s="47">
        <v>4</v>
      </c>
      <c r="H23" s="47">
        <v>4</v>
      </c>
      <c r="I23" s="47">
        <v>4</v>
      </c>
      <c r="J23" s="47">
        <v>4</v>
      </c>
      <c r="K23" s="47">
        <v>4</v>
      </c>
      <c r="L23" s="50"/>
    </row>
  </sheetData>
  <mergeCells count="28">
    <mergeCell ref="A1:K1"/>
    <mergeCell ref="E2:K2"/>
    <mergeCell ref="N2:Q2"/>
    <mergeCell ref="E3:K3"/>
    <mergeCell ref="N3:Q3"/>
    <mergeCell ref="E4:K4"/>
    <mergeCell ref="N4:Q4"/>
    <mergeCell ref="N5:Q5"/>
    <mergeCell ref="E6:K6"/>
    <mergeCell ref="N6:Q6"/>
    <mergeCell ref="E7:K7"/>
    <mergeCell ref="E8:K8"/>
    <mergeCell ref="E9:K9"/>
    <mergeCell ref="E10:K10"/>
    <mergeCell ref="E11:K11"/>
    <mergeCell ref="E12:K12"/>
    <mergeCell ref="E13:K13"/>
    <mergeCell ref="A15:D16"/>
    <mergeCell ref="G15:K15"/>
    <mergeCell ref="E15:E16"/>
    <mergeCell ref="F15:F16"/>
    <mergeCell ref="A17:D17"/>
    <mergeCell ref="B18:D18"/>
    <mergeCell ref="C19:D19"/>
    <mergeCell ref="C20:D20"/>
    <mergeCell ref="B21:D21"/>
    <mergeCell ref="C22:D22"/>
    <mergeCell ref="C23:D23"/>
  </mergeCells>
  <dataValidations count="496">
    <dataValidation allowBlank="1" sqref="A1"/>
    <dataValidation allowBlank="1" sqref="A10"/>
    <dataValidation allowBlank="1" sqref="A11"/>
    <dataValidation allowBlank="1" sqref="A12"/>
    <dataValidation allowBlank="1" sqref="A13"/>
    <dataValidation allowBlank="1" sqref="A14"/>
    <dataValidation allowBlank="1" sqref="A15"/>
    <dataValidation allowBlank="1" sqref="A16"/>
    <dataValidation allowBlank="1" sqref="A17"/>
    <dataValidation allowBlank="1" sqref="A18"/>
    <dataValidation allowBlank="1" sqref="A19"/>
    <dataValidation allowBlank="1" sqref="A2"/>
    <dataValidation allowBlank="1" sqref="A20"/>
    <dataValidation allowBlank="1" sqref="A21"/>
    <dataValidation allowBlank="1" sqref="A22"/>
    <dataValidation allowBlank="1" sqref="A23"/>
    <dataValidation allowBlank="1" sqref="A3"/>
    <dataValidation allowBlank="1" sqref="A4"/>
    <dataValidation allowBlank="1" sqref="A5"/>
    <dataValidation allowBlank="1" sqref="A6"/>
    <dataValidation allowBlank="1" sqref="A7"/>
    <dataValidation allowBlank="1" sqref="A8"/>
    <dataValidation allowBlank="1" sqref="A9"/>
    <dataValidation allowBlank="1" sqref="B1"/>
    <dataValidation allowBlank="1" sqref="B10"/>
    <dataValidation allowBlank="1" sqref="B11"/>
    <dataValidation allowBlank="1" sqref="B12"/>
    <dataValidation allowBlank="1" sqref="B13"/>
    <dataValidation allowBlank="1" sqref="B14"/>
    <dataValidation allowBlank="1" sqref="B15"/>
    <dataValidation allowBlank="1" sqref="B16"/>
    <dataValidation allowBlank="1" sqref="B17"/>
    <dataValidation allowBlank="1" sqref="B18"/>
    <dataValidation allowBlank="1" sqref="B19"/>
    <dataValidation allowBlank="1" sqref="B2"/>
    <dataValidation allowBlank="1" sqref="B20"/>
    <dataValidation allowBlank="1" sqref="B21"/>
    <dataValidation allowBlank="1" sqref="B22"/>
    <dataValidation allowBlank="1" sqref="B23"/>
    <dataValidation allowBlank="1" sqref="B3"/>
    <dataValidation allowBlank="1" sqref="B4"/>
    <dataValidation allowBlank="1" sqref="B5"/>
    <dataValidation allowBlank="1" sqref="B6"/>
    <dataValidation allowBlank="1" sqref="B7"/>
    <dataValidation allowBlank="1" sqref="B8"/>
    <dataValidation allowBlank="1" sqref="B9"/>
    <dataValidation allowBlank="1" sqref="C1"/>
    <dataValidation allowBlank="1" sqref="C10"/>
    <dataValidation allowBlank="1" sqref="C11"/>
    <dataValidation allowBlank="1" sqref="C12"/>
    <dataValidation allowBlank="1" sqref="C13"/>
    <dataValidation allowBlank="1" sqref="C14"/>
    <dataValidation allowBlank="1" sqref="C15"/>
    <dataValidation allowBlank="1" sqref="C16"/>
    <dataValidation allowBlank="1" sqref="C17"/>
    <dataValidation allowBlank="1" sqref="C18"/>
    <dataValidation allowBlank="1" sqref="C19"/>
    <dataValidation allowBlank="1" sqref="C2"/>
    <dataValidation allowBlank="1" sqref="C20"/>
    <dataValidation allowBlank="1" sqref="C21"/>
    <dataValidation allowBlank="1" sqref="C22"/>
    <dataValidation allowBlank="1" sqref="C23"/>
    <dataValidation allowBlank="1" sqref="C3"/>
    <dataValidation allowBlank="1" sqref="C4"/>
    <dataValidation allowBlank="1" sqref="C5"/>
    <dataValidation allowBlank="1" sqref="C6"/>
    <dataValidation allowBlank="1" sqref="C7"/>
    <dataValidation allowBlank="1" sqref="C8"/>
    <dataValidation allowBlank="1" sqref="C9"/>
    <dataValidation allowBlank="1" sqref="D1"/>
    <dataValidation allowBlank="1" sqref="D10"/>
    <dataValidation allowBlank="1" sqref="D11"/>
    <dataValidation allowBlank="1" sqref="D12"/>
    <dataValidation allowBlank="1" sqref="D13"/>
    <dataValidation allowBlank="1" sqref="D14"/>
    <dataValidation allowBlank="1" sqref="D15"/>
    <dataValidation allowBlank="1" sqref="D16"/>
    <dataValidation allowBlank="1" sqref="D17"/>
    <dataValidation allowBlank="1" sqref="D18"/>
    <dataValidation allowBlank="1" sqref="D19"/>
    <dataValidation allowBlank="1" sqref="D2"/>
    <dataValidation allowBlank="1" sqref="D20"/>
    <dataValidation allowBlank="1" sqref="D21"/>
    <dataValidation allowBlank="1" sqref="D22"/>
    <dataValidation allowBlank="1" sqref="D23"/>
    <dataValidation allowBlank="1" sqref="D3"/>
    <dataValidation allowBlank="1" sqref="D4"/>
    <dataValidation allowBlank="1" sqref="D5"/>
    <dataValidation allowBlank="1" sqref="D6"/>
    <dataValidation allowBlank="1" sqref="D7"/>
    <dataValidation allowBlank="1" sqref="D8"/>
    <dataValidation allowBlank="1" sqref="D9"/>
    <dataValidation allowBlank="1" sqref="E1"/>
    <dataValidation allowBlank="1" sqref="E10"/>
    <dataValidation allowBlank="1" sqref="E11"/>
    <dataValidation allowBlank="1" sqref="E12"/>
    <dataValidation allowBlank="1" sqref="E13"/>
    <dataValidation allowBlank="1" sqref="E14"/>
    <dataValidation allowBlank="1" sqref="E15"/>
    <dataValidation allowBlank="1" sqref="E16"/>
    <dataValidation allowBlank="1" sqref="E17"/>
    <dataValidation allowBlank="1" sqref="E18"/>
    <dataValidation allowBlank="1" sqref="E19"/>
    <dataValidation allowBlank="1" sqref="E2"/>
    <dataValidation allowBlank="1" sqref="E20"/>
    <dataValidation allowBlank="1" sqref="E21"/>
    <dataValidation allowBlank="1" sqref="E22"/>
    <dataValidation allowBlank="1" sqref="E23"/>
    <dataValidation allowBlank="1" sqref="E3"/>
    <dataValidation allowBlank="1" sqref="E4"/>
    <dataValidation allowBlank="1" sqref="E5"/>
    <dataValidation allowBlank="1" sqref="E6"/>
    <dataValidation allowBlank="1" sqref="E7"/>
    <dataValidation allowBlank="1" sqref="E8"/>
    <dataValidation allowBlank="1" sqref="E9"/>
    <dataValidation allowBlank="1" sqref="F1"/>
    <dataValidation allowBlank="1" sqref="F10"/>
    <dataValidation allowBlank="1" sqref="F11"/>
    <dataValidation allowBlank="1" sqref="F12"/>
    <dataValidation allowBlank="1" sqref="F13"/>
    <dataValidation allowBlank="1" sqref="F14"/>
    <dataValidation allowBlank="1" sqref="F15"/>
    <dataValidation allowBlank="1" sqref="F16"/>
    <dataValidation allowBlank="1" sqref="F17"/>
    <dataValidation allowBlank="1" sqref="F18"/>
    <dataValidation allowBlank="1" sqref="F19"/>
    <dataValidation allowBlank="1" sqref="F2"/>
    <dataValidation allowBlank="1" sqref="F20"/>
    <dataValidation allowBlank="1" sqref="F21"/>
    <dataValidation allowBlank="1" sqref="F22"/>
    <dataValidation allowBlank="1" sqref="F23"/>
    <dataValidation allowBlank="1" sqref="F3"/>
    <dataValidation allowBlank="1" sqref="F4"/>
    <dataValidation allowBlank="1" sqref="F5"/>
    <dataValidation allowBlank="1" sqref="F6"/>
    <dataValidation allowBlank="1" sqref="F7"/>
    <dataValidation allowBlank="1" sqref="F8"/>
    <dataValidation allowBlank="1" sqref="F9"/>
    <dataValidation allowBlank="1" sqref="G1"/>
    <dataValidation allowBlank="1" sqref="G10"/>
    <dataValidation allowBlank="1" sqref="G11"/>
    <dataValidation allowBlank="1" sqref="G12"/>
    <dataValidation allowBlank="1" sqref="G13"/>
    <dataValidation allowBlank="1" sqref="G14"/>
    <dataValidation allowBlank="1" sqref="G15"/>
    <dataValidation allowBlank="1" sqref="G16"/>
    <dataValidation allowBlank="1" sqref="G17"/>
    <dataValidation allowBlank="1" sqref="G18"/>
    <dataValidation allowBlank="1" sqref="G19"/>
    <dataValidation allowBlank="1" sqref="G2"/>
    <dataValidation allowBlank="1" sqref="G20"/>
    <dataValidation allowBlank="1" sqref="G21"/>
    <dataValidation allowBlank="1" sqref="G22"/>
    <dataValidation allowBlank="1" sqref="G23"/>
    <dataValidation allowBlank="1" sqref="G3"/>
    <dataValidation allowBlank="1" sqref="G4"/>
    <dataValidation allowBlank="1" sqref="G5"/>
    <dataValidation allowBlank="1" sqref="G6"/>
    <dataValidation allowBlank="1" sqref="G7"/>
    <dataValidation allowBlank="1" sqref="G8"/>
    <dataValidation allowBlank="1" sqref="G9"/>
    <dataValidation allowBlank="1" sqref="H1"/>
    <dataValidation allowBlank="1" sqref="H10"/>
    <dataValidation allowBlank="1" sqref="H11"/>
    <dataValidation allowBlank="1" sqref="H12"/>
    <dataValidation allowBlank="1" sqref="H13"/>
    <dataValidation allowBlank="1" sqref="H14"/>
    <dataValidation allowBlank="1" sqref="H15"/>
    <dataValidation allowBlank="1" sqref="H16"/>
    <dataValidation allowBlank="1" sqref="H17"/>
    <dataValidation allowBlank="1" sqref="H18"/>
    <dataValidation allowBlank="1" sqref="H19"/>
    <dataValidation allowBlank="1" sqref="H2"/>
    <dataValidation allowBlank="1" sqref="H20"/>
    <dataValidation allowBlank="1" sqref="H21"/>
    <dataValidation allowBlank="1" sqref="H22"/>
    <dataValidation allowBlank="1" sqref="H23"/>
    <dataValidation allowBlank="1" sqref="H3"/>
    <dataValidation allowBlank="1" sqref="H4"/>
    <dataValidation allowBlank="1" sqref="H5"/>
    <dataValidation allowBlank="1" sqref="H6"/>
    <dataValidation allowBlank="1" sqref="H7"/>
    <dataValidation allowBlank="1" sqref="H8"/>
    <dataValidation allowBlank="1" sqref="H9"/>
    <dataValidation allowBlank="1" sqref="I1"/>
    <dataValidation allowBlank="1" sqref="I10"/>
    <dataValidation allowBlank="1" sqref="I11"/>
    <dataValidation allowBlank="1" sqref="I12"/>
    <dataValidation allowBlank="1" sqref="I13"/>
    <dataValidation allowBlank="1" sqref="I14"/>
    <dataValidation allowBlank="1" sqref="I15"/>
    <dataValidation allowBlank="1" sqref="I16"/>
    <dataValidation allowBlank="1" sqref="I17"/>
    <dataValidation allowBlank="1" sqref="I18"/>
    <dataValidation allowBlank="1" sqref="I19"/>
    <dataValidation allowBlank="1" sqref="I2"/>
    <dataValidation allowBlank="1" sqref="I20"/>
    <dataValidation allowBlank="1" sqref="I21"/>
    <dataValidation allowBlank="1" sqref="I22"/>
    <dataValidation allowBlank="1" sqref="I23"/>
    <dataValidation allowBlank="1" sqref="I3"/>
    <dataValidation allowBlank="1" sqref="I4"/>
    <dataValidation allowBlank="1" sqref="I5"/>
    <dataValidation allowBlank="1" sqref="I6"/>
    <dataValidation allowBlank="1" sqref="I7"/>
    <dataValidation allowBlank="1" sqref="I8"/>
    <dataValidation allowBlank="1" sqref="I9"/>
    <dataValidation allowBlank="1" sqref="J1"/>
    <dataValidation allowBlank="1" sqref="J10"/>
    <dataValidation allowBlank="1" sqref="J11"/>
    <dataValidation allowBlank="1" sqref="J12"/>
    <dataValidation allowBlank="1" sqref="J13"/>
    <dataValidation allowBlank="1" sqref="J14"/>
    <dataValidation allowBlank="1" sqref="J15"/>
    <dataValidation allowBlank="1" sqref="J16"/>
    <dataValidation allowBlank="1" sqref="J17"/>
    <dataValidation allowBlank="1" sqref="J18"/>
    <dataValidation allowBlank="1" sqref="J19"/>
    <dataValidation allowBlank="1" sqref="J2"/>
    <dataValidation allowBlank="1" sqref="J20"/>
    <dataValidation allowBlank="1" sqref="J21"/>
    <dataValidation allowBlank="1" sqref="J22"/>
    <dataValidation allowBlank="1" sqref="J23"/>
    <dataValidation allowBlank="1" sqref="J3"/>
    <dataValidation allowBlank="1" sqref="J4"/>
    <dataValidation allowBlank="1" sqref="J5"/>
    <dataValidation allowBlank="1" sqref="J6"/>
    <dataValidation allowBlank="1" sqref="J7"/>
    <dataValidation allowBlank="1" sqref="J8"/>
    <dataValidation allowBlank="1" sqref="J9"/>
    <dataValidation allowBlank="1" sqref="K1"/>
    <dataValidation allowBlank="1" sqref="K10"/>
    <dataValidation allowBlank="1" sqref="K11"/>
    <dataValidation allowBlank="1" sqref="K12"/>
    <dataValidation allowBlank="1" sqref="K13"/>
    <dataValidation allowBlank="1" sqref="K14"/>
    <dataValidation allowBlank="1" sqref="K15"/>
    <dataValidation allowBlank="1" sqref="K16"/>
    <dataValidation allowBlank="1" sqref="K17"/>
    <dataValidation allowBlank="1" sqref="K18"/>
    <dataValidation allowBlank="1" sqref="K19"/>
    <dataValidation allowBlank="1" sqref="K2"/>
    <dataValidation allowBlank="1" sqref="K20"/>
    <dataValidation allowBlank="1" sqref="K21"/>
    <dataValidation allowBlank="1" sqref="K22"/>
    <dataValidation allowBlank="1" sqref="K23"/>
    <dataValidation allowBlank="1" sqref="K3"/>
    <dataValidation allowBlank="1" sqref="K4"/>
    <dataValidation allowBlank="1" sqref="K5"/>
    <dataValidation allowBlank="1" sqref="K6"/>
    <dataValidation allowBlank="1" sqref="K7"/>
    <dataValidation allowBlank="1" sqref="K8"/>
    <dataValidation allowBlank="1" sqref="K9"/>
    <dataValidation allowBlank="1" sqref="L1"/>
    <dataValidation allowBlank="1" sqref="L10"/>
    <dataValidation allowBlank="1" sqref="L11"/>
    <dataValidation allowBlank="1" sqref="L12"/>
    <dataValidation allowBlank="1" sqref="L13"/>
    <dataValidation allowBlank="1" sqref="L14"/>
    <dataValidation allowBlank="1" sqref="L15"/>
    <dataValidation allowBlank="1" sqref="L16"/>
    <dataValidation allowBlank="1" sqref="L17"/>
    <dataValidation allowBlank="1" sqref="L18"/>
    <dataValidation allowBlank="1" sqref="L19"/>
    <dataValidation allowBlank="1" sqref="L2"/>
    <dataValidation allowBlank="1" sqref="L20"/>
    <dataValidation allowBlank="1" sqref="L21"/>
    <dataValidation allowBlank="1" sqref="L22"/>
    <dataValidation allowBlank="1" sqref="L23"/>
    <dataValidation allowBlank="1" sqref="L3"/>
    <dataValidation allowBlank="1" sqref="L4"/>
    <dataValidation allowBlank="1" sqref="L5"/>
    <dataValidation allowBlank="1" sqref="L6"/>
    <dataValidation allowBlank="1" sqref="L7"/>
    <dataValidation allowBlank="1" sqref="L8"/>
    <dataValidation allowBlank="1" sqref="L9"/>
    <dataValidation allowBlank="1" sqref="M1"/>
    <dataValidation allowBlank="1" sqref="M10"/>
    <dataValidation allowBlank="1" sqref="M11"/>
    <dataValidation allowBlank="1" sqref="M12"/>
    <dataValidation allowBlank="1" sqref="M13"/>
    <dataValidation allowBlank="1" sqref="M14"/>
    <dataValidation allowBlank="1" sqref="M15"/>
    <dataValidation allowBlank="1" sqref="M16"/>
    <dataValidation allowBlank="1" sqref="M17"/>
    <dataValidation allowBlank="1" sqref="M18"/>
    <dataValidation allowBlank="1" sqref="M19"/>
    <dataValidation allowBlank="1" sqref="M2"/>
    <dataValidation allowBlank="1" sqref="M20"/>
    <dataValidation allowBlank="1" sqref="M3"/>
    <dataValidation allowBlank="1" sqref="M4"/>
    <dataValidation allowBlank="1" sqref="M5"/>
    <dataValidation allowBlank="1" sqref="M6"/>
    <dataValidation allowBlank="1" sqref="M7"/>
    <dataValidation allowBlank="1" sqref="M8"/>
    <dataValidation allowBlank="1" sqref="M9"/>
    <dataValidation allowBlank="1" sqref="N1"/>
    <dataValidation allowBlank="1" sqref="N10"/>
    <dataValidation allowBlank="1" sqref="N11"/>
    <dataValidation allowBlank="1" sqref="N12"/>
    <dataValidation allowBlank="1" sqref="N13"/>
    <dataValidation allowBlank="1" sqref="N14"/>
    <dataValidation allowBlank="1" sqref="N15"/>
    <dataValidation allowBlank="1" sqref="N16"/>
    <dataValidation allowBlank="1" sqref="N17"/>
    <dataValidation allowBlank="1" sqref="N18"/>
    <dataValidation allowBlank="1" sqref="N19"/>
    <dataValidation allowBlank="1" sqref="N2"/>
    <dataValidation allowBlank="1" sqref="N20"/>
    <dataValidation allowBlank="1" sqref="N3"/>
    <dataValidation allowBlank="1" sqref="N4"/>
    <dataValidation allowBlank="1" sqref="N5"/>
    <dataValidation allowBlank="1" sqref="N6"/>
    <dataValidation allowBlank="1" sqref="N7"/>
    <dataValidation allowBlank="1" sqref="N8"/>
    <dataValidation allowBlank="1" sqref="N9"/>
    <dataValidation allowBlank="1" sqref="O1"/>
    <dataValidation allowBlank="1" sqref="O10"/>
    <dataValidation allowBlank="1" sqref="O11"/>
    <dataValidation allowBlank="1" sqref="O12"/>
    <dataValidation allowBlank="1" sqref="O13"/>
    <dataValidation allowBlank="1" sqref="O14"/>
    <dataValidation allowBlank="1" sqref="O15"/>
    <dataValidation allowBlank="1" sqref="O16"/>
    <dataValidation allowBlank="1" sqref="O17"/>
    <dataValidation allowBlank="1" sqref="O18"/>
    <dataValidation allowBlank="1" sqref="O19"/>
    <dataValidation allowBlank="1" sqref="O2"/>
    <dataValidation allowBlank="1" sqref="O20"/>
    <dataValidation allowBlank="1" sqref="O3"/>
    <dataValidation allowBlank="1" sqref="O4"/>
    <dataValidation allowBlank="1" sqref="O5"/>
    <dataValidation allowBlank="1" sqref="O6"/>
    <dataValidation allowBlank="1" sqref="O7"/>
    <dataValidation allowBlank="1" sqref="O8"/>
    <dataValidation allowBlank="1" sqref="O9"/>
    <dataValidation allowBlank="1" sqref="P1"/>
    <dataValidation allowBlank="1" sqref="P10"/>
    <dataValidation allowBlank="1" sqref="P11"/>
    <dataValidation allowBlank="1" sqref="P12"/>
    <dataValidation allowBlank="1" sqref="P13"/>
    <dataValidation allowBlank="1" sqref="P14"/>
    <dataValidation allowBlank="1" sqref="P15"/>
    <dataValidation allowBlank="1" sqref="P16"/>
    <dataValidation allowBlank="1" sqref="P17"/>
    <dataValidation allowBlank="1" sqref="P18"/>
    <dataValidation allowBlank="1" sqref="P19"/>
    <dataValidation allowBlank="1" sqref="P2"/>
    <dataValidation allowBlank="1" sqref="P20"/>
    <dataValidation allowBlank="1" sqref="P3"/>
    <dataValidation allowBlank="1" sqref="P4"/>
    <dataValidation allowBlank="1" sqref="P5"/>
    <dataValidation allowBlank="1" sqref="P6"/>
    <dataValidation allowBlank="1" sqref="P7"/>
    <dataValidation allowBlank="1" sqref="P8"/>
    <dataValidation allowBlank="1" sqref="P9"/>
    <dataValidation allowBlank="1" sqref="Q1"/>
    <dataValidation allowBlank="1" sqref="Q10"/>
    <dataValidation allowBlank="1" sqref="Q11"/>
    <dataValidation allowBlank="1" sqref="Q12"/>
    <dataValidation allowBlank="1" sqref="Q13"/>
    <dataValidation allowBlank="1" sqref="Q14"/>
    <dataValidation allowBlank="1" sqref="Q15"/>
    <dataValidation allowBlank="1" sqref="Q16"/>
    <dataValidation allowBlank="1" sqref="Q17"/>
    <dataValidation allowBlank="1" sqref="Q18"/>
    <dataValidation allowBlank="1" sqref="Q19"/>
    <dataValidation allowBlank="1" sqref="Q2"/>
    <dataValidation allowBlank="1" sqref="Q20"/>
    <dataValidation allowBlank="1" sqref="Q3"/>
    <dataValidation allowBlank="1" sqref="Q4"/>
    <dataValidation allowBlank="1" sqref="Q5"/>
    <dataValidation allowBlank="1" sqref="Q6"/>
    <dataValidation allowBlank="1" sqref="Q7"/>
    <dataValidation allowBlank="1" sqref="Q8"/>
    <dataValidation allowBlank="1" sqref="Q9"/>
    <dataValidation allowBlank="1" sqref="R1"/>
    <dataValidation allowBlank="1" sqref="R10"/>
    <dataValidation allowBlank="1" sqref="R11"/>
    <dataValidation allowBlank="1" sqref="R12"/>
    <dataValidation allowBlank="1" sqref="R13"/>
    <dataValidation allowBlank="1" sqref="R14"/>
    <dataValidation allowBlank="1" sqref="R15"/>
    <dataValidation allowBlank="1" sqref="R16"/>
    <dataValidation allowBlank="1" sqref="R17"/>
    <dataValidation allowBlank="1" sqref="R18"/>
    <dataValidation allowBlank="1" sqref="R19"/>
    <dataValidation allowBlank="1" sqref="R2"/>
    <dataValidation allowBlank="1" sqref="R20"/>
    <dataValidation allowBlank="1" sqref="R3"/>
    <dataValidation allowBlank="1" sqref="R4"/>
    <dataValidation allowBlank="1" sqref="R5"/>
    <dataValidation allowBlank="1" sqref="R6"/>
    <dataValidation allowBlank="1" sqref="R7"/>
    <dataValidation allowBlank="1" sqref="R8"/>
    <dataValidation allowBlank="1" sqref="R9"/>
    <dataValidation allowBlank="1" sqref="S1"/>
    <dataValidation allowBlank="1" sqref="S10"/>
    <dataValidation allowBlank="1" sqref="S11"/>
    <dataValidation allowBlank="1" sqref="S12"/>
    <dataValidation allowBlank="1" sqref="S13"/>
    <dataValidation allowBlank="1" sqref="S14"/>
    <dataValidation allowBlank="1" sqref="S15"/>
    <dataValidation allowBlank="1" sqref="S16"/>
    <dataValidation allowBlank="1" sqref="S17"/>
    <dataValidation allowBlank="1" sqref="S18"/>
    <dataValidation allowBlank="1" sqref="S19"/>
    <dataValidation allowBlank="1" sqref="S2"/>
    <dataValidation allowBlank="1" sqref="S20"/>
    <dataValidation allowBlank="1" sqref="S3"/>
    <dataValidation allowBlank="1" sqref="S4"/>
    <dataValidation allowBlank="1" sqref="S5"/>
    <dataValidation allowBlank="1" sqref="S6"/>
    <dataValidation allowBlank="1" sqref="S7"/>
    <dataValidation allowBlank="1" sqref="S8"/>
    <dataValidation allowBlank="1" sqref="S9"/>
    <dataValidation allowBlank="1" sqref="T1"/>
    <dataValidation allowBlank="1" sqref="T10"/>
    <dataValidation allowBlank="1" sqref="T11"/>
    <dataValidation allowBlank="1" sqref="T12"/>
    <dataValidation allowBlank="1" sqref="T13"/>
    <dataValidation allowBlank="1" sqref="T14"/>
    <dataValidation allowBlank="1" sqref="T15"/>
    <dataValidation allowBlank="1" sqref="T16"/>
    <dataValidation allowBlank="1" sqref="T17"/>
    <dataValidation allowBlank="1" sqref="T18"/>
    <dataValidation allowBlank="1" sqref="T19"/>
    <dataValidation allowBlank="1" sqref="T2"/>
    <dataValidation allowBlank="1" sqref="T20"/>
    <dataValidation allowBlank="1" sqref="T3"/>
    <dataValidation allowBlank="1" sqref="T4"/>
    <dataValidation allowBlank="1" sqref="T5"/>
    <dataValidation allowBlank="1" sqref="T6"/>
    <dataValidation allowBlank="1" sqref="T7"/>
    <dataValidation allowBlank="1" sqref="T8"/>
    <dataValidation allowBlank="1" sqref="T9"/>
    <dataValidation allowBlank="1" sqref="U1"/>
    <dataValidation allowBlank="1" sqref="U10"/>
    <dataValidation allowBlank="1" sqref="U11"/>
    <dataValidation allowBlank="1" sqref="U12"/>
    <dataValidation allowBlank="1" sqref="U13"/>
    <dataValidation allowBlank="1" sqref="U14"/>
    <dataValidation allowBlank="1" sqref="U15"/>
    <dataValidation allowBlank="1" sqref="U16"/>
    <dataValidation allowBlank="1" sqref="U17"/>
    <dataValidation allowBlank="1" sqref="U18"/>
    <dataValidation allowBlank="1" sqref="U19"/>
    <dataValidation allowBlank="1" sqref="U2"/>
    <dataValidation allowBlank="1" sqref="U20"/>
    <dataValidation allowBlank="1" sqref="U3"/>
    <dataValidation allowBlank="1" sqref="U4"/>
    <dataValidation allowBlank="1" sqref="U5"/>
    <dataValidation allowBlank="1" sqref="U6"/>
    <dataValidation allowBlank="1" sqref="U7"/>
    <dataValidation allowBlank="1" sqref="U8"/>
    <dataValidation allowBlank="1" sqref="U9"/>
    <dataValidation allowBlank="1" sqref="V1"/>
    <dataValidation allowBlank="1" sqref="V10"/>
    <dataValidation allowBlank="1" sqref="V11"/>
    <dataValidation allowBlank="1" sqref="V12"/>
    <dataValidation allowBlank="1" sqref="V13"/>
    <dataValidation allowBlank="1" sqref="V14"/>
    <dataValidation allowBlank="1" sqref="V15"/>
    <dataValidation allowBlank="1" sqref="V16"/>
    <dataValidation allowBlank="1" sqref="V17"/>
    <dataValidation allowBlank="1" sqref="V18"/>
    <dataValidation allowBlank="1" sqref="V19"/>
    <dataValidation allowBlank="1" sqref="V2"/>
    <dataValidation allowBlank="1" sqref="V20"/>
    <dataValidation allowBlank="1" sqref="V3"/>
    <dataValidation allowBlank="1" sqref="V4"/>
    <dataValidation allowBlank="1" sqref="V5"/>
    <dataValidation allowBlank="1" sqref="V6"/>
    <dataValidation allowBlank="1" sqref="V7"/>
    <dataValidation allowBlank="1" sqref="V8"/>
    <dataValidation allowBlank="1" sqref="V9"/>
    <dataValidation allowBlank="1" sqref="W1"/>
    <dataValidation allowBlank="1" sqref="W10"/>
    <dataValidation allowBlank="1" sqref="W11"/>
    <dataValidation allowBlank="1" sqref="W12"/>
    <dataValidation allowBlank="1" sqref="W13"/>
    <dataValidation allowBlank="1" sqref="W14"/>
    <dataValidation allowBlank="1" sqref="W15"/>
    <dataValidation allowBlank="1" sqref="W16"/>
    <dataValidation allowBlank="1" sqref="W17"/>
    <dataValidation allowBlank="1" sqref="W18"/>
    <dataValidation allowBlank="1" sqref="W19"/>
    <dataValidation allowBlank="1" sqref="W2"/>
    <dataValidation allowBlank="1" sqref="W20"/>
    <dataValidation allowBlank="1" sqref="W3"/>
    <dataValidation allowBlank="1" sqref="W4"/>
    <dataValidation allowBlank="1" sqref="W5"/>
    <dataValidation allowBlank="1" sqref="W6"/>
    <dataValidation allowBlank="1" sqref="W7"/>
    <dataValidation allowBlank="1" sqref="W8"/>
    <dataValidation allowBlank="1" sqref="W9"/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36.42857142857143" customWidth="1"/>
    <col min="2" max="2" width="4.285714285714286" customWidth="1"/>
    <col min="3" max="3" width="36.42857142857143" customWidth="1"/>
    <col min="4" max="4" width="4.285714285714286" customWidth="1"/>
    <col min="5" max="5" width="42.142857142857146" customWidth="1"/>
    <col min="6" max="6" width="4.285714285714286" customWidth="1"/>
    <col min="7" max="7" width="15" customWidth="1"/>
  </cols>
  <sheetData>
    <row r="1" spans="1:7" x14ac:dyDescent="0.25">
      <c r="A1" s="1" t="s">
        <v>294</v>
      </c>
      <c r="B1" s="1"/>
      <c r="C1" s="1"/>
      <c r="D1" s="1"/>
      <c r="E1" s="1"/>
      <c r="F1" s="1"/>
      <c r="G1" s="1"/>
    </row>
    <row r="3" spans="1:7" x14ac:dyDescent="0.25">
      <c r="A3" s="2" t="s">
        <v>295</v>
      </c>
      <c r="C3" s="2" t="s">
        <v>296</v>
      </c>
      <c r="E3" s="2" t="s">
        <v>297</v>
      </c>
      <c r="G3" s="2" t="s">
        <v>298</v>
      </c>
    </row>
    <row r="4" spans="1:7" x14ac:dyDescent="0.25">
      <c r="A4" s="4" t="s">
        <v>299</v>
      </c>
      <c r="C4" s="4" t="s">
        <v>300</v>
      </c>
      <c r="E4" s="4" t="s">
        <v>301</v>
      </c>
      <c r="G4" s="4" t="s">
        <v>302</v>
      </c>
    </row>
    <row r="5" spans="1:7" x14ac:dyDescent="0.25">
      <c r="A5" s="4" t="s">
        <v>303</v>
      </c>
      <c r="C5" s="4" t="s">
        <v>304</v>
      </c>
      <c r="E5" s="4" t="s">
        <v>305</v>
      </c>
      <c r="G5" s="4" t="s">
        <v>306</v>
      </c>
    </row>
    <row r="6" spans="1:5" x14ac:dyDescent="0.25">
      <c r="A6" s="4" t="s">
        <v>307</v>
      </c>
      <c r="C6" s="4" t="s">
        <v>308</v>
      </c>
      <c r="E6" s="4" t="s">
        <v>309</v>
      </c>
    </row>
    <row r="7" spans="1:5" x14ac:dyDescent="0.25">
      <c r="A7" s="4" t="s">
        <v>310</v>
      </c>
      <c r="C7" s="4" t="s">
        <v>311</v>
      </c>
      <c r="E7" s="4" t="s">
        <v>312</v>
      </c>
    </row>
    <row r="8" spans="3:5" x14ac:dyDescent="0.25">
      <c r="C8" s="4" t="s">
        <v>313</v>
      </c>
      <c r="E8" s="4" t="s">
        <v>314</v>
      </c>
    </row>
    <row r="9" spans="3:5" x14ac:dyDescent="0.25">
      <c r="C9" s="4" t="s">
        <v>315</v>
      </c>
      <c r="E9" s="4" t="s">
        <v>316</v>
      </c>
    </row>
    <row r="10" spans="3:5" x14ac:dyDescent="0.25">
      <c r="C10" s="4" t="s">
        <v>317</v>
      </c>
      <c r="E10" s="4" t="s">
        <v>318</v>
      </c>
    </row>
    <row r="11" spans="3:3" x14ac:dyDescent="0.25">
      <c r="C11" s="4" t="s">
        <v>319</v>
      </c>
    </row>
    <row r="12" spans="3:3" x14ac:dyDescent="0.25">
      <c r="C12" s="4" t="s">
        <v>320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00_Настройки</vt:lpstr>
      <vt:lpstr>01_Настройки квартала</vt:lpstr>
      <vt:lpstr>02_Capacity</vt:lpstr>
      <vt:lpstr>03_Оценка задач</vt:lpstr>
      <vt:lpstr>04_Квартальный план</vt:lpstr>
      <vt:lpstr>99_Правила планирования</vt:lpstr>
      <vt:lpstr>100_Шаблон экспресс оценки</vt:lpstr>
      <vt:lpstr>101_Списки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QuarterPlan Excel</dc:creator>
  <dc:title/>
  <dc:subject/>
  <dc:description/>
  <cp:keywords/>
  <cp:category/>
  <cp:lastModifiedBy>QuarterPlan Excel</cp:lastModifiedBy>
  <dcterms:created xsi:type="dcterms:W3CDTF">2026-08-28T11:23:47Z</dcterms:created>
  <dcterms:modified xsi:type="dcterms:W3CDTF">2026-08-28T11:23:47Z</dcterms:modified>
</cp:coreProperties>
</file>